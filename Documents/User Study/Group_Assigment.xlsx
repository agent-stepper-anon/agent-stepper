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hutter/Library/Mobile Documents/com~apple~CloudDocs/Uni Stuttgart/Thesis/User Study/"/>
    </mc:Choice>
  </mc:AlternateContent>
  <xr:revisionPtr revIDLastSave="0" documentId="13_ncr:1_{9CB103E0-4002-9342-8A1A-903E2D20F148}" xr6:coauthVersionLast="47" xr6:coauthVersionMax="47" xr10:uidLastSave="{00000000-0000-0000-0000-000000000000}"/>
  <bookViews>
    <workbookView xWindow="1080" yWindow="1240" windowWidth="27640" windowHeight="16160" activeTab="1" xr2:uid="{923A1F06-66FF-154E-9E91-AFE1D60FB884}"/>
  </bookViews>
  <sheets>
    <sheet name="Sheet1" sheetId="1" r:id="rId1"/>
    <sheet name="Export P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3" i="2"/>
  <c r="B3" i="2"/>
  <c r="J26" i="1"/>
  <c r="J27" i="1"/>
  <c r="J28" i="1"/>
  <c r="J25" i="1"/>
  <c r="H26" i="1"/>
  <c r="H27" i="1"/>
  <c r="H28" i="1"/>
  <c r="H25" i="1"/>
  <c r="F26" i="1"/>
  <c r="F27" i="1"/>
  <c r="F25" i="1"/>
  <c r="B26" i="1"/>
  <c r="B25" i="1"/>
  <c r="J19" i="1"/>
  <c r="J20" i="1"/>
  <c r="J21" i="1"/>
  <c r="J18" i="1"/>
  <c r="H19" i="1"/>
  <c r="H20" i="1"/>
  <c r="H21" i="1"/>
  <c r="H18" i="1"/>
  <c r="F20" i="1"/>
  <c r="F19" i="1"/>
  <c r="F18" i="1"/>
  <c r="B19" i="1"/>
  <c r="B18" i="1"/>
  <c r="B2" i="2"/>
  <c r="A2" i="2"/>
</calcChain>
</file>

<file path=xl/sharedStrings.xml><?xml version="1.0" encoding="utf-8"?>
<sst xmlns="http://schemas.openxmlformats.org/spreadsheetml/2006/main" count="149" uniqueCount="54">
  <si>
    <t>25-34</t>
  </si>
  <si>
    <t>Male</t>
  </si>
  <si>
    <t>PhD Candidate in Computer Science</t>
  </si>
  <si>
    <t>3-5 years</t>
  </si>
  <si>
    <t>Moderate (configured and used them)</t>
  </si>
  <si>
    <t>OpenHands</t>
  </si>
  <si>
    <t>VS Code</t>
  </si>
  <si>
    <t>AutoCodeRover, Claude Code, Amazon Q</t>
  </si>
  <si>
    <t>5-10 years</t>
  </si>
  <si>
    <t>Some knowledge of AutoGPT, used agentic modes of copilot and Gemini</t>
  </si>
  <si>
    <t>18-24</t>
  </si>
  <si>
    <t>Master's Computer Science Student</t>
  </si>
  <si>
    <t>Advanced (developed them or analyzed them)</t>
  </si>
  <si>
    <t>RepairAgent, ExecutionAgent, AutoGPT, Codex, GitHub Copilot Coding Agent</t>
  </si>
  <si>
    <t>Female</t>
  </si>
  <si>
    <t>10+ years</t>
  </si>
  <si>
    <t>Basic (heard of them)</t>
  </si>
  <si>
    <t>Bachelor's Computer Science Student</t>
  </si>
  <si>
    <t>1-3 years</t>
  </si>
  <si>
    <t>None</t>
  </si>
  <si>
    <t>-</t>
  </si>
  <si>
    <t>Participant Key</t>
  </si>
  <si>
    <t>Age Range</t>
  </si>
  <si>
    <t>Gender</t>
  </si>
  <si>
    <t>Current Occupation</t>
  </si>
  <si>
    <t>Years of Programming Experience</t>
  </si>
  <si>
    <t>Familiarity with LLM Based Autonomous Agents</t>
  </si>
  <si>
    <t>Experience with LLM Based Autonomous Agents and Frameworks</t>
  </si>
  <si>
    <t>What text editor are you the most familiar with?</t>
  </si>
  <si>
    <t>bdb6</t>
  </si>
  <si>
    <t>e43c</t>
  </si>
  <si>
    <t>1d20</t>
  </si>
  <si>
    <t>33c6</t>
  </si>
  <si>
    <t>bdf7</t>
  </si>
  <si>
    <t>0078</t>
  </si>
  <si>
    <t>49f7</t>
  </si>
  <si>
    <t>536e</t>
  </si>
  <si>
    <t>5694</t>
  </si>
  <si>
    <t>Group</t>
  </si>
  <si>
    <t>Group A (Using Agent Debugger)</t>
  </si>
  <si>
    <t>Occupation Distribution</t>
  </si>
  <si>
    <t>Age Range Distribution</t>
  </si>
  <si>
    <t>Familiarity with LLM Agents Distribution</t>
  </si>
  <si>
    <t>A</t>
  </si>
  <si>
    <t>Group B (Using a Text Editor)</t>
  </si>
  <si>
    <t>Programming Experience Distribution</t>
  </si>
  <si>
    <t>B</t>
  </si>
  <si>
    <t>A: With Agent Debugger</t>
  </si>
  <si>
    <t>B: With Text Viewer</t>
  </si>
  <si>
    <t>fe6c</t>
  </si>
  <si>
    <t>67c3</t>
  </si>
  <si>
    <t>RepairAgent</t>
  </si>
  <si>
    <t>AutoGPT, LangChain, AutoGen</t>
  </si>
  <si>
    <t>18e7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</si>
</sst>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auto="1"/>
      </top>
      <bottom style="thick">
        <color theme="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4"/>
      </left>
      <right/>
      <top style="medium">
        <color theme="4"/>
      </top>
      <bottom style="thick">
        <color theme="4" tint="0.499984740745262"/>
      </bottom>
      <diagonal/>
    </border>
    <border>
      <left/>
      <right style="medium">
        <color theme="4"/>
      </right>
      <top style="medium">
        <color theme="4"/>
      </top>
      <bottom style="thick">
        <color theme="4" tint="0.499984740745262"/>
      </bottom>
      <diagonal/>
    </border>
    <border>
      <left/>
      <right style="medium">
        <color theme="4"/>
      </right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thick">
        <color theme="4" tint="0.499984740745262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25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4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/>
    <xf numFmtId="0" fontId="5" fillId="0" borderId="12" xfId="0" applyFont="1" applyBorder="1"/>
    <xf numFmtId="0" fontId="7" fillId="0" borderId="13" xfId="0" applyFont="1" applyBorder="1"/>
    <xf numFmtId="0" fontId="8" fillId="0" borderId="13" xfId="0" applyFont="1" applyBorder="1"/>
    <xf numFmtId="0" fontId="9" fillId="4" borderId="0" xfId="0" applyFont="1" applyFill="1"/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6" fillId="3" borderId="5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3" borderId="7" xfId="1" applyFont="1" applyFill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9" xfId="2" applyFont="1" applyBorder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B283-BEA4-1448-89B8-EDD3509D0224}">
  <dimension ref="A1:J29"/>
  <sheetViews>
    <sheetView workbookViewId="0">
      <selection activeCell="B14" sqref="B14"/>
    </sheetView>
  </sheetViews>
  <sheetFormatPr baseColWidth="10" defaultRowHeight="16" x14ac:dyDescent="0.2"/>
  <cols>
    <col min="1" max="1" width="10.6640625" customWidth="1"/>
    <col min="2" max="2" width="15.6640625" customWidth="1"/>
    <col min="3" max="3" width="9.83203125" bestFit="1" customWidth="1"/>
    <col min="4" max="4" width="7.1640625" bestFit="1" customWidth="1"/>
    <col min="5" max="5" width="43.5" customWidth="1"/>
    <col min="6" max="6" width="12.6640625" customWidth="1"/>
    <col min="7" max="7" width="22.33203125" customWidth="1"/>
    <col min="8" max="8" width="23.5" customWidth="1"/>
    <col min="9" max="9" width="42.83203125" customWidth="1"/>
    <col min="10" max="10" width="16.33203125" customWidth="1"/>
  </cols>
  <sheetData>
    <row r="1" spans="1:10" s="2" customFormat="1" ht="51" x14ac:dyDescent="0.2">
      <c r="A1" s="1" t="s">
        <v>38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/>
    </row>
    <row r="2" spans="1:10" s="2" customFormat="1" x14ac:dyDescent="0.2">
      <c r="A2" t="s">
        <v>46</v>
      </c>
      <c r="B2" t="s">
        <v>49</v>
      </c>
      <c r="C2" t="s">
        <v>0</v>
      </c>
      <c r="D2" t="s">
        <v>14</v>
      </c>
      <c r="E2" t="s">
        <v>2</v>
      </c>
      <c r="F2" t="s">
        <v>8</v>
      </c>
      <c r="G2" t="s">
        <v>16</v>
      </c>
      <c r="H2" t="s">
        <v>51</v>
      </c>
      <c r="I2" t="s">
        <v>6</v>
      </c>
      <c r="J2" s="1"/>
    </row>
    <row r="3" spans="1:10" s="2" customFormat="1" x14ac:dyDescent="0.2">
      <c r="A3" t="s">
        <v>46</v>
      </c>
      <c r="B3" t="s">
        <v>50</v>
      </c>
      <c r="C3" t="s">
        <v>0</v>
      </c>
      <c r="D3" t="s">
        <v>1</v>
      </c>
      <c r="E3" t="s">
        <v>17</v>
      </c>
      <c r="F3" t="s">
        <v>3</v>
      </c>
      <c r="G3" t="s">
        <v>19</v>
      </c>
      <c r="H3"/>
      <c r="I3" t="s">
        <v>6</v>
      </c>
      <c r="J3" s="1"/>
    </row>
    <row r="4" spans="1:10" x14ac:dyDescent="0.2">
      <c r="A4" t="s">
        <v>43</v>
      </c>
      <c r="B4" t="s">
        <v>34</v>
      </c>
      <c r="C4" t="s">
        <v>10</v>
      </c>
      <c r="D4" t="s">
        <v>1</v>
      </c>
      <c r="E4" t="s">
        <v>17</v>
      </c>
      <c r="F4" t="s">
        <v>18</v>
      </c>
      <c r="G4" t="s">
        <v>19</v>
      </c>
      <c r="I4" t="s">
        <v>20</v>
      </c>
    </row>
    <row r="5" spans="1:10" x14ac:dyDescent="0.2">
      <c r="A5" t="s">
        <v>43</v>
      </c>
      <c r="B5" t="s">
        <v>31</v>
      </c>
      <c r="C5" t="s">
        <v>0</v>
      </c>
      <c r="D5" t="s">
        <v>1</v>
      </c>
      <c r="E5" t="s">
        <v>2</v>
      </c>
      <c r="F5" t="s">
        <v>8</v>
      </c>
      <c r="G5" t="s">
        <v>4</v>
      </c>
      <c r="H5" t="s">
        <v>9</v>
      </c>
      <c r="I5" t="s">
        <v>6</v>
      </c>
    </row>
    <row r="6" spans="1:10" x14ac:dyDescent="0.2">
      <c r="A6" t="s">
        <v>43</v>
      </c>
      <c r="B6" t="s">
        <v>32</v>
      </c>
      <c r="C6" t="s">
        <v>10</v>
      </c>
      <c r="D6" t="s">
        <v>1</v>
      </c>
      <c r="E6" t="s">
        <v>11</v>
      </c>
      <c r="F6" t="s">
        <v>3</v>
      </c>
      <c r="G6" t="s">
        <v>12</v>
      </c>
      <c r="H6" t="s">
        <v>13</v>
      </c>
      <c r="I6" t="s">
        <v>6</v>
      </c>
    </row>
    <row r="7" spans="1:10" x14ac:dyDescent="0.2">
      <c r="A7" t="s">
        <v>46</v>
      </c>
      <c r="B7" t="s">
        <v>35</v>
      </c>
      <c r="C7" t="s">
        <v>10</v>
      </c>
      <c r="D7" t="s">
        <v>1</v>
      </c>
      <c r="E7" t="s">
        <v>17</v>
      </c>
      <c r="F7" t="s">
        <v>8</v>
      </c>
      <c r="G7" t="s">
        <v>16</v>
      </c>
      <c r="I7" t="s">
        <v>6</v>
      </c>
    </row>
    <row r="8" spans="1:10" x14ac:dyDescent="0.2">
      <c r="A8" t="s">
        <v>43</v>
      </c>
      <c r="B8" t="s">
        <v>36</v>
      </c>
      <c r="C8" t="s">
        <v>10</v>
      </c>
      <c r="D8" t="s">
        <v>1</v>
      </c>
      <c r="E8" t="s">
        <v>17</v>
      </c>
      <c r="F8" t="s">
        <v>18</v>
      </c>
      <c r="G8" t="s">
        <v>19</v>
      </c>
      <c r="I8" t="s">
        <v>6</v>
      </c>
    </row>
    <row r="9" spans="1:10" x14ac:dyDescent="0.2">
      <c r="A9" t="s">
        <v>46</v>
      </c>
      <c r="B9" t="s">
        <v>37</v>
      </c>
      <c r="C9" t="s">
        <v>10</v>
      </c>
      <c r="D9" t="s">
        <v>1</v>
      </c>
      <c r="E9" t="s">
        <v>17</v>
      </c>
      <c r="F9" t="s">
        <v>18</v>
      </c>
      <c r="G9" t="s">
        <v>19</v>
      </c>
      <c r="I9" t="s">
        <v>6</v>
      </c>
    </row>
    <row r="10" spans="1:10" x14ac:dyDescent="0.2">
      <c r="A10" t="s">
        <v>46</v>
      </c>
      <c r="B10" t="s">
        <v>29</v>
      </c>
      <c r="C10" t="s">
        <v>0</v>
      </c>
      <c r="D10" t="s">
        <v>1</v>
      </c>
      <c r="E10" t="s">
        <v>2</v>
      </c>
      <c r="F10" t="s">
        <v>3</v>
      </c>
      <c r="G10" t="s">
        <v>12</v>
      </c>
      <c r="H10" t="s">
        <v>5</v>
      </c>
      <c r="I10" t="s">
        <v>6</v>
      </c>
    </row>
    <row r="11" spans="1:10" x14ac:dyDescent="0.2">
      <c r="A11" t="s">
        <v>43</v>
      </c>
      <c r="B11" t="s">
        <v>33</v>
      </c>
      <c r="C11" t="s">
        <v>0</v>
      </c>
      <c r="D11" t="s">
        <v>14</v>
      </c>
      <c r="E11" t="s">
        <v>2</v>
      </c>
      <c r="F11" t="s">
        <v>15</v>
      </c>
      <c r="G11" t="s">
        <v>16</v>
      </c>
      <c r="I11" t="s">
        <v>6</v>
      </c>
    </row>
    <row r="12" spans="1:10" x14ac:dyDescent="0.2">
      <c r="A12" t="s">
        <v>43</v>
      </c>
      <c r="B12" s="14" t="s">
        <v>53</v>
      </c>
      <c r="C12" t="s">
        <v>0</v>
      </c>
      <c r="D12" t="s">
        <v>1</v>
      </c>
      <c r="E12" t="s">
        <v>2</v>
      </c>
      <c r="F12" t="s">
        <v>3</v>
      </c>
      <c r="G12" t="s">
        <v>12</v>
      </c>
      <c r="H12" t="s">
        <v>52</v>
      </c>
      <c r="I12" t="s">
        <v>6</v>
      </c>
    </row>
    <row r="13" spans="1:10" x14ac:dyDescent="0.2">
      <c r="A13" t="s">
        <v>46</v>
      </c>
      <c r="B13" t="s">
        <v>30</v>
      </c>
      <c r="C13" t="s">
        <v>0</v>
      </c>
      <c r="D13" t="s">
        <v>1</v>
      </c>
      <c r="E13" t="s">
        <v>2</v>
      </c>
      <c r="F13" t="s">
        <v>3</v>
      </c>
      <c r="G13" t="s">
        <v>4</v>
      </c>
      <c r="H13" t="s">
        <v>7</v>
      </c>
      <c r="I13" t="s">
        <v>6</v>
      </c>
    </row>
    <row r="15" spans="1:10" ht="17" thickBot="1" x14ac:dyDescent="0.25"/>
    <row r="16" spans="1:10" ht="23" thickBot="1" x14ac:dyDescent="0.35">
      <c r="A16" s="15" t="s">
        <v>39</v>
      </c>
      <c r="B16" s="16"/>
      <c r="C16" s="17"/>
      <c r="D16" s="17"/>
      <c r="E16" s="16"/>
      <c r="F16" s="16"/>
      <c r="G16" s="16"/>
      <c r="H16" s="16"/>
      <c r="I16" s="16"/>
      <c r="J16" s="18"/>
    </row>
    <row r="17" spans="1:10" ht="24" thickTop="1" thickBot="1" x14ac:dyDescent="0.35">
      <c r="A17" s="23" t="s">
        <v>41</v>
      </c>
      <c r="B17" s="24"/>
      <c r="C17" s="3"/>
      <c r="D17" s="3"/>
      <c r="E17" s="23" t="s">
        <v>40</v>
      </c>
      <c r="F17" s="24"/>
      <c r="G17" s="23" t="s">
        <v>45</v>
      </c>
      <c r="H17" s="24"/>
      <c r="I17" s="23" t="s">
        <v>42</v>
      </c>
      <c r="J17" s="24"/>
    </row>
    <row r="18" spans="1:10" ht="23" thickTop="1" x14ac:dyDescent="0.3">
      <c r="A18" s="8" t="s">
        <v>10</v>
      </c>
      <c r="B18" s="7">
        <f>COUNTIFS($A$2:$A$13,"A",C$2:C$13,A18)</f>
        <v>3</v>
      </c>
      <c r="C18" s="3"/>
      <c r="D18" s="3"/>
      <c r="E18" s="8" t="s">
        <v>17</v>
      </c>
      <c r="F18" s="7">
        <f>COUNTIFS($A$2:$A$13,"A",E$2:E$13,E18)</f>
        <v>2</v>
      </c>
      <c r="G18" s="10" t="s">
        <v>18</v>
      </c>
      <c r="H18" s="7">
        <f>COUNTIFS($A$2:$A$13,"A",F$2:F$13,G18)</f>
        <v>2</v>
      </c>
      <c r="I18" s="10" t="s">
        <v>19</v>
      </c>
      <c r="J18" s="7">
        <f>COUNTIFS($A$2:$A$13,"A",G$2:G$13,I18)</f>
        <v>2</v>
      </c>
    </row>
    <row r="19" spans="1:10" ht="22" x14ac:dyDescent="0.3">
      <c r="A19" s="9" t="s">
        <v>0</v>
      </c>
      <c r="B19" s="7">
        <f t="shared" ref="B19" si="0">COUNTIFS($A$2:$A$13,"A",C$2:C$13,A19)</f>
        <v>3</v>
      </c>
      <c r="C19" s="3"/>
      <c r="D19" s="3"/>
      <c r="E19" s="9" t="s">
        <v>11</v>
      </c>
      <c r="F19" s="7">
        <f>COUNTIFS($A$2:$A$13,"A",E$2:E$13,E19)</f>
        <v>1</v>
      </c>
      <c r="G19" s="11" t="s">
        <v>3</v>
      </c>
      <c r="H19" s="7">
        <f t="shared" ref="H19:H21" si="1">COUNTIFS($A$2:$A$13,"A",F$2:F$13,G19)</f>
        <v>2</v>
      </c>
      <c r="I19" s="11" t="s">
        <v>16</v>
      </c>
      <c r="J19" s="7">
        <f t="shared" ref="J19:J21" si="2">COUNTIFS($A$2:$A$13,"A",G$2:G$13,I19)</f>
        <v>1</v>
      </c>
    </row>
    <row r="20" spans="1:10" ht="22" x14ac:dyDescent="0.3">
      <c r="A20" s="9"/>
      <c r="B20" s="7"/>
      <c r="C20" s="3"/>
      <c r="D20" s="3"/>
      <c r="E20" s="9" t="s">
        <v>2</v>
      </c>
      <c r="F20" s="7">
        <f>COUNTIFS($A$2:$A$13,"A",E$2:E$13,E20)</f>
        <v>3</v>
      </c>
      <c r="G20" s="11" t="s">
        <v>8</v>
      </c>
      <c r="H20" s="7">
        <f t="shared" si="1"/>
        <v>1</v>
      </c>
      <c r="I20" s="11" t="s">
        <v>4</v>
      </c>
      <c r="J20" s="7">
        <f t="shared" si="2"/>
        <v>1</v>
      </c>
    </row>
    <row r="21" spans="1:10" ht="23" thickBot="1" x14ac:dyDescent="0.35">
      <c r="A21" s="9"/>
      <c r="B21" s="7"/>
      <c r="C21" s="4"/>
      <c r="D21" s="4"/>
      <c r="E21" s="9"/>
      <c r="F21" s="7"/>
      <c r="G21" s="11" t="s">
        <v>15</v>
      </c>
      <c r="H21" s="7">
        <f t="shared" si="1"/>
        <v>1</v>
      </c>
      <c r="I21" s="11" t="s">
        <v>12</v>
      </c>
      <c r="J21" s="7">
        <f t="shared" si="2"/>
        <v>2</v>
      </c>
    </row>
    <row r="22" spans="1:10" ht="23" thickBot="1" x14ac:dyDescent="0.35">
      <c r="A22" s="6"/>
      <c r="B22" s="5"/>
      <c r="C22" s="3"/>
      <c r="D22" s="3"/>
      <c r="E22" s="6"/>
      <c r="F22" s="3"/>
      <c r="G22" s="3"/>
      <c r="H22" s="3"/>
      <c r="I22" s="3"/>
      <c r="J22" s="3"/>
    </row>
    <row r="23" spans="1:10" ht="23" thickBot="1" x14ac:dyDescent="0.35">
      <c r="A23" s="19" t="s">
        <v>44</v>
      </c>
      <c r="B23" s="20"/>
      <c r="C23" s="21"/>
      <c r="D23" s="21"/>
      <c r="E23" s="20"/>
      <c r="F23" s="20"/>
      <c r="G23" s="20"/>
      <c r="H23" s="20"/>
      <c r="I23" s="20"/>
      <c r="J23" s="22"/>
    </row>
    <row r="24" spans="1:10" ht="24" thickTop="1" thickBot="1" x14ac:dyDescent="0.35">
      <c r="A24" s="23" t="s">
        <v>41</v>
      </c>
      <c r="B24" s="24"/>
      <c r="C24" s="3"/>
      <c r="D24" s="3"/>
      <c r="E24" s="23" t="s">
        <v>40</v>
      </c>
      <c r="F24" s="24"/>
      <c r="G24" s="23" t="s">
        <v>45</v>
      </c>
      <c r="H24" s="24"/>
      <c r="I24" s="23" t="s">
        <v>42</v>
      </c>
      <c r="J24" s="24"/>
    </row>
    <row r="25" spans="1:10" ht="23" thickTop="1" x14ac:dyDescent="0.3">
      <c r="A25" s="8" t="s">
        <v>10</v>
      </c>
      <c r="B25" s="7">
        <f>COUNTIFS($A$2:$A$13,"B",C$2:C$13,A25)</f>
        <v>2</v>
      </c>
      <c r="C25" s="3"/>
      <c r="D25" s="3"/>
      <c r="E25" s="10" t="s">
        <v>17</v>
      </c>
      <c r="F25" s="7">
        <f>COUNTIFS($A$2:$A$13,"B",E$2:E$13,E25)</f>
        <v>3</v>
      </c>
      <c r="G25" s="10" t="s">
        <v>18</v>
      </c>
      <c r="H25" s="7">
        <f>COUNTIFS($A$2:$A$13,"B",F$2:F$13,G25)</f>
        <v>1</v>
      </c>
      <c r="I25" s="10" t="s">
        <v>19</v>
      </c>
      <c r="J25" s="7">
        <f>COUNTIFS($A$2:$A$13,"B",G$2:G$13,I25)</f>
        <v>2</v>
      </c>
    </row>
    <row r="26" spans="1:10" ht="22" x14ac:dyDescent="0.3">
      <c r="A26" s="9" t="s">
        <v>0</v>
      </c>
      <c r="B26" s="7">
        <f>COUNTIFS($A$2:$A$13,"B",C$2:C$13,A26)</f>
        <v>4</v>
      </c>
      <c r="C26" s="3"/>
      <c r="D26" s="3"/>
      <c r="E26" s="11" t="s">
        <v>11</v>
      </c>
      <c r="F26" s="7">
        <f t="shared" ref="F26:F27" si="3">COUNTIFS($A$2:$A$13,"B",E$2:E$13,E26)</f>
        <v>0</v>
      </c>
      <c r="G26" s="11" t="s">
        <v>3</v>
      </c>
      <c r="H26" s="7">
        <f t="shared" ref="H26:H28" si="4">COUNTIFS($A$2:$A$13,"B",F$2:F$13,G26)</f>
        <v>3</v>
      </c>
      <c r="I26" s="11" t="s">
        <v>16</v>
      </c>
      <c r="J26" s="7">
        <f t="shared" ref="J26:J28" si="5">COUNTIFS($A$2:$A$13,"B",G$2:G$13,I26)</f>
        <v>2</v>
      </c>
    </row>
    <row r="27" spans="1:10" ht="22" x14ac:dyDescent="0.3">
      <c r="A27" s="9"/>
      <c r="B27" s="7"/>
      <c r="C27" s="3"/>
      <c r="D27" s="3"/>
      <c r="E27" s="11" t="s">
        <v>2</v>
      </c>
      <c r="F27" s="7">
        <f t="shared" si="3"/>
        <v>3</v>
      </c>
      <c r="G27" s="11" t="s">
        <v>8</v>
      </c>
      <c r="H27" s="7">
        <f t="shared" si="4"/>
        <v>2</v>
      </c>
      <c r="I27" s="11" t="s">
        <v>4</v>
      </c>
      <c r="J27" s="7">
        <f t="shared" si="5"/>
        <v>1</v>
      </c>
    </row>
    <row r="28" spans="1:10" ht="23" thickBot="1" x14ac:dyDescent="0.35">
      <c r="A28" s="9"/>
      <c r="B28" s="7"/>
      <c r="C28" s="4"/>
      <c r="D28" s="4"/>
      <c r="E28" s="11"/>
      <c r="F28" s="7"/>
      <c r="G28" s="11" t="s">
        <v>15</v>
      </c>
      <c r="H28" s="7">
        <f t="shared" si="4"/>
        <v>0</v>
      </c>
      <c r="I28" s="11" t="s">
        <v>12</v>
      </c>
      <c r="J28" s="7">
        <f t="shared" si="5"/>
        <v>1</v>
      </c>
    </row>
    <row r="29" spans="1:10" ht="22" x14ac:dyDescent="0.3">
      <c r="H29" s="3"/>
      <c r="J29" s="3"/>
    </row>
  </sheetData>
  <sortState xmlns:xlrd2="http://schemas.microsoft.com/office/spreadsheetml/2017/richdata2" ref="A4:J13">
    <sortCondition ref="B4:B13"/>
  </sortState>
  <mergeCells count="10">
    <mergeCell ref="A16:J16"/>
    <mergeCell ref="A23:J23"/>
    <mergeCell ref="A24:B24"/>
    <mergeCell ref="E24:F24"/>
    <mergeCell ref="G24:H24"/>
    <mergeCell ref="I24:J24"/>
    <mergeCell ref="A17:B17"/>
    <mergeCell ref="E17:F17"/>
    <mergeCell ref="G17:H17"/>
    <mergeCell ref="I17:J17"/>
  </mergeCells>
  <conditionalFormatting sqref="A2:I13">
    <cfRule type="expression" dxfId="1" priority="1">
      <formula>$A2="A"</formula>
    </cfRule>
    <cfRule type="expression" dxfId="0" priority="2">
      <formula>$A2="B"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D628-CE26-2241-A2DA-B68402973C0E}">
  <dimension ref="A2:B17"/>
  <sheetViews>
    <sheetView tabSelected="1" view="pageLayout" zoomScaleNormal="100" workbookViewId="0">
      <selection activeCell="B11" sqref="B11"/>
    </sheetView>
  </sheetViews>
  <sheetFormatPr baseColWidth="10" defaultRowHeight="16" x14ac:dyDescent="0.2"/>
  <cols>
    <col min="2" max="2" width="17.83203125" bestFit="1" customWidth="1"/>
  </cols>
  <sheetData>
    <row r="2" spans="1:2" ht="22" x14ac:dyDescent="0.3">
      <c r="A2" s="12" t="str">
        <f>Sheet1!A1</f>
        <v>Group</v>
      </c>
      <c r="B2" s="12" t="str">
        <f>Sheet1!B1</f>
        <v>Participant Key</v>
      </c>
    </row>
    <row r="3" spans="1:2" ht="22" x14ac:dyDescent="0.3">
      <c r="A3" s="13" t="str">
        <f>Sheet1!A2</f>
        <v>B</v>
      </c>
      <c r="B3" s="13" t="str">
        <f>Sheet1!B2</f>
        <v>fe6c</v>
      </c>
    </row>
    <row r="4" spans="1:2" ht="22" x14ac:dyDescent="0.3">
      <c r="A4" s="13" t="str">
        <f>Sheet1!A3</f>
        <v>B</v>
      </c>
      <c r="B4" s="13" t="str">
        <f>Sheet1!B3</f>
        <v>67c3</v>
      </c>
    </row>
    <row r="5" spans="1:2" ht="22" x14ac:dyDescent="0.3">
      <c r="A5" s="13" t="str">
        <f>Sheet1!A4</f>
        <v>A</v>
      </c>
      <c r="B5" s="13" t="str">
        <f>Sheet1!B4</f>
        <v>0078</v>
      </c>
    </row>
    <row r="6" spans="1:2" ht="22" x14ac:dyDescent="0.3">
      <c r="A6" s="13" t="str">
        <f>Sheet1!A5</f>
        <v>A</v>
      </c>
      <c r="B6" s="13" t="str">
        <f>Sheet1!B5</f>
        <v>1d20</v>
      </c>
    </row>
    <row r="7" spans="1:2" ht="22" x14ac:dyDescent="0.3">
      <c r="A7" s="13" t="str">
        <f>Sheet1!A6</f>
        <v>A</v>
      </c>
      <c r="B7" s="13" t="str">
        <f>Sheet1!B6</f>
        <v>33c6</v>
      </c>
    </row>
    <row r="8" spans="1:2" ht="22" x14ac:dyDescent="0.3">
      <c r="A8" s="13" t="str">
        <f>Sheet1!A7</f>
        <v>B</v>
      </c>
      <c r="B8" s="13" t="str">
        <f>Sheet1!B7</f>
        <v>49f7</v>
      </c>
    </row>
    <row r="9" spans="1:2" ht="22" x14ac:dyDescent="0.3">
      <c r="A9" s="13" t="str">
        <f>Sheet1!A8</f>
        <v>A</v>
      </c>
      <c r="B9" s="13" t="str">
        <f>Sheet1!B8</f>
        <v>536e</v>
      </c>
    </row>
    <row r="10" spans="1:2" ht="22" x14ac:dyDescent="0.3">
      <c r="A10" s="13" t="str">
        <f>Sheet1!A9</f>
        <v>B</v>
      </c>
      <c r="B10" s="13" t="str">
        <f>Sheet1!B9</f>
        <v>5694</v>
      </c>
    </row>
    <row r="11" spans="1:2" ht="22" x14ac:dyDescent="0.3">
      <c r="A11" s="13" t="str">
        <f>Sheet1!A10</f>
        <v>B</v>
      </c>
      <c r="B11" s="13" t="str">
        <f>Sheet1!B10</f>
        <v>bdb6</v>
      </c>
    </row>
    <row r="12" spans="1:2" ht="22" x14ac:dyDescent="0.3">
      <c r="A12" s="13" t="str">
        <f>Sheet1!A11</f>
        <v>A</v>
      </c>
      <c r="B12" s="13" t="str">
        <f>Sheet1!B11</f>
        <v>bdf7</v>
      </c>
    </row>
    <row r="13" spans="1:2" ht="22" x14ac:dyDescent="0.3">
      <c r="A13" s="13" t="str">
        <f>Sheet1!A12</f>
        <v>A</v>
      </c>
      <c r="B13" s="13" t="str">
        <f>Sheet1!B12</f>
        <v>18e7</v>
      </c>
    </row>
    <row r="14" spans="1:2" ht="22" x14ac:dyDescent="0.3">
      <c r="A14" s="13" t="str">
        <f>Sheet1!A13</f>
        <v>B</v>
      </c>
      <c r="B14" s="13" t="str">
        <f>Sheet1!B13</f>
        <v>e43c</v>
      </c>
    </row>
    <row r="16" spans="1:2" ht="22" x14ac:dyDescent="0.3">
      <c r="A16" s="3" t="s">
        <v>47</v>
      </c>
    </row>
    <row r="17" spans="1:1" ht="22" x14ac:dyDescent="0.3">
      <c r="A17" s="3" t="s">
        <v>48</v>
      </c>
    </row>
  </sheetData>
  <pageMargins left="0.625" right="0.7" top="0.75" bottom="0.75" header="0.3" footer="0.3"/>
  <pageSetup paperSize="9" orientation="portrait" horizontalDpi="0" verticalDpi="0"/>
  <headerFooter>
    <oddHeader>&amp;LGroup Assigment&amp;R&amp;"System Font,Regular"&amp;10&amp;K000000User Study: Interactive Debugging of LLM Agents</oddHeader>
    <oddFooter>&amp;LRobert Hutter&amp;RSoftware Lab, University of Stuttgart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Export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Hutter</dc:creator>
  <cp:lastModifiedBy>Robert Hutter</cp:lastModifiedBy>
  <cp:lastPrinted>2025-08-18T11:41:29Z</cp:lastPrinted>
  <dcterms:created xsi:type="dcterms:W3CDTF">2025-08-18T07:26:05Z</dcterms:created>
  <dcterms:modified xsi:type="dcterms:W3CDTF">2025-08-25T14:44:08Z</dcterms:modified>
</cp:coreProperties>
</file>