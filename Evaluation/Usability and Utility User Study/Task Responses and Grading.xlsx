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Users/roberthutter/Library/Mobile Documents/com~apple~CloudDocs/Uni Stuttgart/Thesis/User Study/"/>
    </mc:Choice>
  </mc:AlternateContent>
  <xr:revisionPtr revIDLastSave="0" documentId="13_ncr:1_{0B558B92-5938-2349-902D-A8E2D1A2EFFE}" xr6:coauthVersionLast="47" xr6:coauthVersionMax="47" xr10:uidLastSave="{00000000-0000-0000-0000-000000000000}"/>
  <bookViews>
    <workbookView xWindow="0" yWindow="740" windowWidth="29400" windowHeight="16660" xr2:uid="{00000000-000D-0000-FFFF-FFFF00000000}"/>
  </bookViews>
  <sheets>
    <sheet name="Data Export" sheetId="5" r:id="rId1"/>
    <sheet name="CSV Results" sheetId="4" r:id="rId2"/>
    <sheet name="Task 1" sheetId="1" r:id="rId3"/>
    <sheet name="Task 2" sheetId="2" r:id="rId4"/>
    <sheet name="Task 3"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4" l="1"/>
  <c r="C4" i="4"/>
  <c r="C5" i="4"/>
  <c r="C6" i="4"/>
  <c r="C7" i="4"/>
  <c r="C8" i="4"/>
  <c r="C9" i="4"/>
  <c r="C10" i="4"/>
  <c r="C11" i="4"/>
  <c r="C12" i="4"/>
  <c r="C13" i="4"/>
  <c r="C2" i="4"/>
  <c r="S9" i="5"/>
  <c r="Q17" i="1"/>
  <c r="Q18" i="1"/>
  <c r="Q19" i="1"/>
  <c r="Q20" i="1"/>
  <c r="Q21" i="1"/>
  <c r="Q22" i="1"/>
  <c r="Q23" i="1"/>
  <c r="Q24" i="1"/>
  <c r="Q25" i="1"/>
  <c r="Q26" i="1"/>
  <c r="Q27" i="1"/>
  <c r="Q16" i="1"/>
  <c r="BD3" i="5"/>
  <c r="BD4" i="5"/>
  <c r="BD5" i="5"/>
  <c r="BD6" i="5"/>
  <c r="BD7" i="5"/>
  <c r="BD8" i="5"/>
  <c r="BD9" i="5"/>
  <c r="BD10" i="5"/>
  <c r="BD11" i="5"/>
  <c r="BD12" i="5"/>
  <c r="BD13" i="5"/>
  <c r="BD2" i="5"/>
  <c r="BC3" i="5"/>
  <c r="BC4" i="5"/>
  <c r="BC5" i="5"/>
  <c r="BC6" i="5"/>
  <c r="BC7" i="5"/>
  <c r="BC8" i="5"/>
  <c r="BC9" i="5"/>
  <c r="BC10" i="5"/>
  <c r="BC11" i="5"/>
  <c r="BC12" i="5"/>
  <c r="BC13" i="5"/>
  <c r="BC2" i="5"/>
  <c r="AN2" i="5" a="1"/>
  <c r="AN2" i="5" s="1"/>
  <c r="AO2" i="5" a="1"/>
  <c r="AO2" i="5" s="1"/>
  <c r="AP2" i="5" a="1"/>
  <c r="AP2" i="5" s="1"/>
  <c r="AQ2" i="5" a="1"/>
  <c r="AQ2" i="5" s="1"/>
  <c r="AR2" i="5" a="1"/>
  <c r="AR2" i="5" s="1"/>
  <c r="AS2" i="5" a="1"/>
  <c r="AS2" i="5" s="1"/>
  <c r="AT2" i="5" a="1"/>
  <c r="AT2" i="5" s="1"/>
  <c r="AU2" i="5" a="1"/>
  <c r="AU2" i="5" s="1"/>
  <c r="AV2" i="5" a="1"/>
  <c r="AV2" i="5" s="1"/>
  <c r="AW2" i="5" a="1"/>
  <c r="AW2" i="5" s="1"/>
  <c r="AX2" i="5" a="1"/>
  <c r="AX2" i="5"/>
  <c r="AY2" i="5" a="1"/>
  <c r="AY2" i="5" s="1"/>
  <c r="AZ2" i="5" a="1"/>
  <c r="AZ2" i="5" s="1"/>
  <c r="AN3" i="5" a="1"/>
  <c r="AN3" i="5" s="1"/>
  <c r="AO3" i="5" a="1"/>
  <c r="AO3" i="5" s="1"/>
  <c r="AP3" i="5" a="1"/>
  <c r="AP3" i="5"/>
  <c r="AQ3" i="5" a="1"/>
  <c r="AQ3" i="5" s="1"/>
  <c r="AR3" i="5" a="1"/>
  <c r="AR3" i="5" s="1"/>
  <c r="AS3" i="5" a="1"/>
  <c r="AS3" i="5" s="1"/>
  <c r="AT3" i="5" a="1"/>
  <c r="AT3" i="5" s="1"/>
  <c r="AU3" i="5" a="1"/>
  <c r="AU3" i="5" s="1"/>
  <c r="AV3" i="5" a="1"/>
  <c r="AV3" i="5" s="1"/>
  <c r="AW3" i="5" a="1"/>
  <c r="AW3" i="5" s="1"/>
  <c r="AX3" i="5" a="1"/>
  <c r="AX3" i="5"/>
  <c r="AY3" i="5" a="1"/>
  <c r="AY3" i="5" s="1"/>
  <c r="AZ3" i="5" a="1"/>
  <c r="AZ3" i="5" s="1"/>
  <c r="AN4" i="5" a="1"/>
  <c r="AN4" i="5" s="1"/>
  <c r="AO4" i="5" a="1"/>
  <c r="AO4" i="5" s="1"/>
  <c r="AP4" i="5" a="1"/>
  <c r="AP4" i="5" s="1"/>
  <c r="AQ4" i="5" a="1"/>
  <c r="AQ4" i="5"/>
  <c r="AR4" i="5" a="1"/>
  <c r="AR4" i="5" s="1"/>
  <c r="AS4" i="5" a="1"/>
  <c r="AS4" i="5" s="1"/>
  <c r="AT4" i="5" a="1"/>
  <c r="AT4" i="5" s="1"/>
  <c r="AU4" i="5" a="1"/>
  <c r="AU4" i="5" s="1"/>
  <c r="AV4" i="5" a="1"/>
  <c r="AV4" i="5"/>
  <c r="AW4" i="5" a="1"/>
  <c r="AW4" i="5" s="1"/>
  <c r="AX4" i="5" a="1"/>
  <c r="AX4" i="5" s="1"/>
  <c r="AY4" i="5" a="1"/>
  <c r="AY4" i="5"/>
  <c r="AZ4" i="5" a="1"/>
  <c r="AZ4" i="5" s="1"/>
  <c r="AN5" i="5" a="1"/>
  <c r="AN5" i="5"/>
  <c r="AO5" i="5" a="1"/>
  <c r="AO5" i="5"/>
  <c r="AP5" i="5" a="1"/>
  <c r="AP5" i="5" s="1"/>
  <c r="AQ5" i="5" a="1"/>
  <c r="AQ5" i="5" s="1"/>
  <c r="AR5" i="5" a="1"/>
  <c r="AR5" i="5" s="1"/>
  <c r="AS5" i="5" a="1"/>
  <c r="AS5" i="5"/>
  <c r="AT5" i="5" a="1"/>
  <c r="AT5" i="5" s="1"/>
  <c r="AU5" i="5" a="1"/>
  <c r="AU5" i="5" s="1"/>
  <c r="AV5" i="5" a="1"/>
  <c r="AV5" i="5" s="1"/>
  <c r="AW5" i="5" a="1"/>
  <c r="AW5" i="5" s="1"/>
  <c r="AX5" i="5" a="1"/>
  <c r="AX5" i="5" s="1"/>
  <c r="AY5" i="5" a="1"/>
  <c r="AY5" i="5" s="1"/>
  <c r="AZ5" i="5" a="1"/>
  <c r="AZ5" i="5"/>
  <c r="AN6" i="5" a="1"/>
  <c r="AN6" i="5" s="1"/>
  <c r="AO6" i="5" a="1"/>
  <c r="AO6" i="5"/>
  <c r="AP6" i="5" a="1"/>
  <c r="AP6" i="5"/>
  <c r="AQ6" i="5" a="1"/>
  <c r="AQ6" i="5" s="1"/>
  <c r="AR6" i="5" a="1"/>
  <c r="AR6" i="5" s="1"/>
  <c r="AS6" i="5" a="1"/>
  <c r="AS6" i="5" s="1"/>
  <c r="AT6" i="5" a="1"/>
  <c r="AT6" i="5" s="1"/>
  <c r="AU6" i="5" a="1"/>
  <c r="AU6" i="5" s="1"/>
  <c r="AV6" i="5" a="1"/>
  <c r="AV6" i="5" s="1"/>
  <c r="AW6" i="5" a="1"/>
  <c r="AW6" i="5" s="1"/>
  <c r="AX6" i="5" a="1"/>
  <c r="AX6" i="5" s="1"/>
  <c r="AY6" i="5" a="1"/>
  <c r="AY6" i="5" s="1"/>
  <c r="AZ6" i="5" a="1"/>
  <c r="AZ6" i="5" s="1"/>
  <c r="AN7" i="5" a="1"/>
  <c r="AN7" i="5" s="1"/>
  <c r="AO7" i="5" a="1"/>
  <c r="AO7" i="5" s="1"/>
  <c r="AP7" i="5" a="1"/>
  <c r="AP7" i="5" s="1"/>
  <c r="AQ7" i="5" a="1"/>
  <c r="AQ7" i="5" s="1"/>
  <c r="AR7" i="5" a="1"/>
  <c r="AR7" i="5" s="1"/>
  <c r="AS7" i="5" a="1"/>
  <c r="AS7" i="5" s="1"/>
  <c r="AT7" i="5" a="1"/>
  <c r="AT7" i="5"/>
  <c r="AU7" i="5" a="1"/>
  <c r="AU7" i="5" s="1"/>
  <c r="AV7" i="5" a="1"/>
  <c r="AV7" i="5" s="1"/>
  <c r="AW7" i="5" a="1"/>
  <c r="AW7" i="5" s="1"/>
  <c r="AX7" i="5" a="1"/>
  <c r="AX7" i="5"/>
  <c r="AY7" i="5" a="1"/>
  <c r="AY7" i="5"/>
  <c r="AZ7" i="5" a="1"/>
  <c r="AZ7" i="5" s="1"/>
  <c r="AN8" i="5" a="1"/>
  <c r="AN8" i="5" s="1"/>
  <c r="AO8" i="5" a="1"/>
  <c r="AO8" i="5" s="1"/>
  <c r="AP8" i="5" a="1"/>
  <c r="AP8" i="5" s="1"/>
  <c r="AQ8" i="5" a="1"/>
  <c r="AQ8" i="5"/>
  <c r="AR8" i="5" a="1"/>
  <c r="AR8" i="5"/>
  <c r="AS8" i="5" a="1"/>
  <c r="AS8" i="5" s="1"/>
  <c r="AT8" i="5" a="1"/>
  <c r="AT8" i="5" s="1"/>
  <c r="AU8" i="5" a="1"/>
  <c r="AU8" i="5" s="1"/>
  <c r="AV8" i="5" a="1"/>
  <c r="AV8" i="5"/>
  <c r="AW8" i="5" a="1"/>
  <c r="AW8" i="5" s="1"/>
  <c r="AX8" i="5" a="1"/>
  <c r="AX8" i="5" s="1"/>
  <c r="AY8" i="5" a="1"/>
  <c r="AY8" i="5" s="1"/>
  <c r="AZ8" i="5" a="1"/>
  <c r="AZ8" i="5" s="1"/>
  <c r="AN9" i="5" a="1"/>
  <c r="AN9" i="5"/>
  <c r="AO9" i="5" a="1"/>
  <c r="AO9" i="5"/>
  <c r="AP9" i="5" a="1"/>
  <c r="AP9" i="5" s="1"/>
  <c r="AQ9" i="5" a="1"/>
  <c r="AQ9" i="5" s="1"/>
  <c r="AR9" i="5" a="1"/>
  <c r="AR9" i="5" s="1"/>
  <c r="AS9" i="5" a="1"/>
  <c r="AS9" i="5"/>
  <c r="AT9" i="5" a="1"/>
  <c r="AT9" i="5" s="1"/>
  <c r="AU9" i="5" a="1"/>
  <c r="AU9" i="5" s="1"/>
  <c r="AV9" i="5" a="1"/>
  <c r="AV9" i="5" s="1"/>
  <c r="AW9" i="5" a="1"/>
  <c r="AW9" i="5" s="1"/>
  <c r="AX9" i="5" a="1"/>
  <c r="AX9" i="5" s="1"/>
  <c r="AY9" i="5" a="1"/>
  <c r="AY9" i="5" s="1"/>
  <c r="AZ9" i="5" a="1"/>
  <c r="AZ9" i="5"/>
  <c r="AN10" i="5" a="1"/>
  <c r="AN10" i="5" s="1"/>
  <c r="AO10" i="5" a="1"/>
  <c r="AO10" i="5" s="1"/>
  <c r="AP10" i="5" a="1"/>
  <c r="AP10" i="5" s="1"/>
  <c r="AQ10" i="5" a="1"/>
  <c r="AQ10" i="5" s="1"/>
  <c r="AR10" i="5" a="1"/>
  <c r="AR10" i="5" s="1"/>
  <c r="AS10" i="5" a="1"/>
  <c r="AS10" i="5" s="1"/>
  <c r="AT10" i="5" a="1"/>
  <c r="AT10" i="5" s="1"/>
  <c r="AU10" i="5" a="1"/>
  <c r="AU10" i="5" s="1"/>
  <c r="AV10" i="5" a="1"/>
  <c r="AV10" i="5" s="1"/>
  <c r="AW10" i="5" a="1"/>
  <c r="AW10" i="5" s="1"/>
  <c r="AX10" i="5" a="1"/>
  <c r="AX10" i="5" s="1"/>
  <c r="AY10" i="5" a="1"/>
  <c r="AY10" i="5" s="1"/>
  <c r="AZ10" i="5" a="1"/>
  <c r="AZ10" i="5" s="1"/>
  <c r="AN11" i="5" a="1"/>
  <c r="AN11" i="5" s="1"/>
  <c r="AO11" i="5" a="1"/>
  <c r="AO11" i="5" s="1"/>
  <c r="AP11" i="5" a="1"/>
  <c r="AP11" i="5"/>
  <c r="AQ11" i="5" a="1"/>
  <c r="AQ11" i="5" s="1"/>
  <c r="AR11" i="5" a="1"/>
  <c r="AR11" i="5" s="1"/>
  <c r="AS11" i="5" a="1"/>
  <c r="AS11" i="5" s="1"/>
  <c r="AT11" i="5" a="1"/>
  <c r="AT11" i="5"/>
  <c r="AU11" i="5" a="1"/>
  <c r="AU11" i="5" s="1"/>
  <c r="AV11" i="5" a="1"/>
  <c r="AV11" i="5" s="1"/>
  <c r="AW11" i="5" a="1"/>
  <c r="AW11" i="5" s="1"/>
  <c r="AX11" i="5" a="1"/>
  <c r="AX11" i="5" s="1"/>
  <c r="AY11" i="5" a="1"/>
  <c r="AY11" i="5"/>
  <c r="AZ11" i="5" a="1"/>
  <c r="AZ11" i="5" s="1"/>
  <c r="AN12" i="5" a="1"/>
  <c r="AN12" i="5" s="1"/>
  <c r="AO12" i="5" a="1"/>
  <c r="AO12" i="5" s="1"/>
  <c r="AP12" i="5" a="1"/>
  <c r="AP12" i="5" s="1"/>
  <c r="AQ12" i="5" a="1"/>
  <c r="AQ12" i="5"/>
  <c r="AR12" i="5" a="1"/>
  <c r="AR12" i="5"/>
  <c r="AS12" i="5" a="1"/>
  <c r="AS12" i="5" s="1"/>
  <c r="AT12" i="5" a="1"/>
  <c r="AT12" i="5" s="1"/>
  <c r="AU12" i="5" a="1"/>
  <c r="AU12" i="5" s="1"/>
  <c r="AV12" i="5" a="1"/>
  <c r="AV12" i="5"/>
  <c r="AW12" i="5" a="1"/>
  <c r="AW12" i="5" s="1"/>
  <c r="AX12" i="5" a="1"/>
  <c r="AX12" i="5" s="1"/>
  <c r="AY12" i="5" a="1"/>
  <c r="AY12" i="5" s="1"/>
  <c r="AZ12" i="5" a="1"/>
  <c r="AZ12" i="5" s="1"/>
  <c r="AN13" i="5" a="1"/>
  <c r="AN13" i="5"/>
  <c r="AO13" i="5" a="1"/>
  <c r="AO13" i="5"/>
  <c r="AP13" i="5" a="1"/>
  <c r="AP13" i="5" s="1"/>
  <c r="AQ13" i="5" a="1"/>
  <c r="AQ13" i="5" s="1"/>
  <c r="AR13" i="5" a="1"/>
  <c r="AR13" i="5" s="1"/>
  <c r="AS13" i="5" a="1"/>
  <c r="AS13" i="5"/>
  <c r="AT13" i="5" a="1"/>
  <c r="AT13" i="5" s="1"/>
  <c r="AU13" i="5" a="1"/>
  <c r="AU13" i="5" s="1"/>
  <c r="AV13" i="5" a="1"/>
  <c r="AV13" i="5" s="1"/>
  <c r="AW13" i="5" a="1"/>
  <c r="AW13" i="5" s="1"/>
  <c r="AX13" i="5" a="1"/>
  <c r="AX13" i="5" s="1"/>
  <c r="AY13" i="5" a="1"/>
  <c r="AY13" i="5" s="1"/>
  <c r="AZ13" i="5" a="1"/>
  <c r="AZ13" i="5"/>
  <c r="AM3" i="5" a="1"/>
  <c r="AM3" i="5" s="1"/>
  <c r="AM4" i="5" a="1"/>
  <c r="AM4" i="5" s="1"/>
  <c r="AM5" i="5" a="1"/>
  <c r="AM5" i="5" s="1"/>
  <c r="AM6" i="5" a="1"/>
  <c r="AM6" i="5" s="1"/>
  <c r="AM7" i="5" a="1"/>
  <c r="AM7" i="5" s="1"/>
  <c r="AM8" i="5" a="1"/>
  <c r="AM8" i="5"/>
  <c r="AM9" i="5" a="1"/>
  <c r="AM9" i="5" s="1"/>
  <c r="AM10" i="5" a="1"/>
  <c r="AM10" i="5" s="1"/>
  <c r="AM11" i="5" a="1"/>
  <c r="AM11" i="5" s="1"/>
  <c r="AM12" i="5" a="1"/>
  <c r="AM12" i="5"/>
  <c r="AM13" i="5" a="1"/>
  <c r="AM13" i="5"/>
  <c r="AM2" i="5" a="1"/>
  <c r="AM2" i="5" s="1"/>
  <c r="AL3" i="5"/>
  <c r="AL11" i="5"/>
  <c r="AK4" i="5"/>
  <c r="C12" i="5"/>
  <c r="I12" i="5"/>
  <c r="Z12" i="5"/>
  <c r="AA12" i="5"/>
  <c r="AB12" i="5"/>
  <c r="R13" i="5"/>
  <c r="Z13" i="5"/>
  <c r="A3" i="5"/>
  <c r="AK3" i="5" s="1"/>
  <c r="A4" i="5"/>
  <c r="AL4" i="5" s="1"/>
  <c r="A5" i="5"/>
  <c r="AL5" i="5" s="1"/>
  <c r="A6" i="5"/>
  <c r="AL6" i="5" s="1"/>
  <c r="A7" i="5"/>
  <c r="B7" i="5" s="1"/>
  <c r="A8" i="5"/>
  <c r="B8" i="5" s="1"/>
  <c r="A9" i="5"/>
  <c r="B9" i="5" s="1"/>
  <c r="A10" i="5"/>
  <c r="B10" i="5" s="1"/>
  <c r="A11" i="5"/>
  <c r="AK11" i="5" s="1"/>
  <c r="A12" i="5"/>
  <c r="E12" i="5" s="1"/>
  <c r="A13" i="5"/>
  <c r="AL13" i="5" s="1"/>
  <c r="A2" i="5"/>
  <c r="B2" i="5" s="1"/>
  <c r="B3" i="5"/>
  <c r="B11" i="5"/>
  <c r="W17" i="1"/>
  <c r="W18" i="1"/>
  <c r="W19" i="1"/>
  <c r="W20" i="1"/>
  <c r="W21" i="1"/>
  <c r="W22" i="1"/>
  <c r="W23" i="1"/>
  <c r="W24" i="1"/>
  <c r="W25" i="1"/>
  <c r="W26" i="1"/>
  <c r="W27" i="1"/>
  <c r="W16" i="1"/>
  <c r="AA13" i="5" l="1"/>
  <c r="AH12" i="5"/>
  <c r="J12" i="5"/>
  <c r="S10" i="5"/>
  <c r="S8" i="5"/>
  <c r="S7" i="5"/>
  <c r="S6" i="5"/>
  <c r="Q13" i="5"/>
  <c r="I13" i="5"/>
  <c r="R12" i="5"/>
  <c r="AL10" i="5"/>
  <c r="S13" i="5"/>
  <c r="S5" i="5"/>
  <c r="T12" i="5"/>
  <c r="AI13" i="5"/>
  <c r="AJ12" i="5"/>
  <c r="Q12" i="5"/>
  <c r="AL9" i="5"/>
  <c r="S12" i="5"/>
  <c r="S4" i="5"/>
  <c r="J13" i="5"/>
  <c r="S2" i="5"/>
  <c r="AH13" i="5"/>
  <c r="AI12" i="5"/>
  <c r="K12" i="5"/>
  <c r="AL8" i="5"/>
  <c r="S11" i="5"/>
  <c r="S3" i="5"/>
  <c r="X13" i="5"/>
  <c r="AG12" i="5"/>
  <c r="H12" i="5"/>
  <c r="B5" i="5"/>
  <c r="AC13" i="5"/>
  <c r="L13" i="5"/>
  <c r="B4" i="5"/>
  <c r="AJ13" i="5"/>
  <c r="AB13" i="5"/>
  <c r="T13" i="5"/>
  <c r="K13" i="5"/>
  <c r="C13" i="5"/>
  <c r="AC12" i="5"/>
  <c r="U12" i="5"/>
  <c r="L12" i="5"/>
  <c r="D12" i="5"/>
  <c r="AK8" i="5"/>
  <c r="AL12" i="5"/>
  <c r="AK6" i="5"/>
  <c r="AK13" i="5"/>
  <c r="AE13" i="5"/>
  <c r="W13" i="5"/>
  <c r="N13" i="5"/>
  <c r="F13" i="5"/>
  <c r="AF12" i="5"/>
  <c r="X12" i="5"/>
  <c r="O12" i="5"/>
  <c r="G12" i="5"/>
  <c r="AL7" i="5"/>
  <c r="AK7" i="5"/>
  <c r="AK2" i="5"/>
  <c r="AG13" i="5"/>
  <c r="Y13" i="5"/>
  <c r="P13" i="5"/>
  <c r="H13" i="5"/>
  <c r="G13" i="5"/>
  <c r="P12" i="5"/>
  <c r="B6" i="5"/>
  <c r="B13" i="5"/>
  <c r="AD13" i="5"/>
  <c r="V13" i="5"/>
  <c r="M13" i="5"/>
  <c r="E13" i="5"/>
  <c r="AE12" i="5"/>
  <c r="W12" i="5"/>
  <c r="N12" i="5"/>
  <c r="F12" i="5"/>
  <c r="AK10" i="5"/>
  <c r="AL2" i="5"/>
  <c r="AK5" i="5"/>
  <c r="AF13" i="5"/>
  <c r="O13" i="5"/>
  <c r="Y12" i="5"/>
  <c r="AK12" i="5"/>
  <c r="B12" i="5"/>
  <c r="U13" i="5"/>
  <c r="D13" i="5"/>
  <c r="AD12" i="5"/>
  <c r="V12" i="5"/>
  <c r="M12" i="5"/>
  <c r="AK9" i="5"/>
  <c r="R9" i="5"/>
  <c r="R10" i="5"/>
  <c r="C3" i="5"/>
  <c r="D3" i="5"/>
  <c r="E3" i="5"/>
  <c r="F3" i="5"/>
  <c r="K3" i="5"/>
  <c r="L3" i="5"/>
  <c r="M3" i="5"/>
  <c r="N3" i="5"/>
  <c r="E4" i="5"/>
  <c r="F4" i="5"/>
  <c r="G4" i="5"/>
  <c r="H4" i="5"/>
  <c r="M4" i="5"/>
  <c r="N4" i="5"/>
  <c r="O4" i="5"/>
  <c r="P4" i="5"/>
  <c r="H5" i="5"/>
  <c r="P5" i="5"/>
  <c r="G9" i="5"/>
  <c r="H9" i="5"/>
  <c r="I9" i="5"/>
  <c r="J9" i="5"/>
  <c r="O9" i="5"/>
  <c r="P9" i="5"/>
  <c r="C10" i="5"/>
  <c r="D10" i="5"/>
  <c r="I10" i="5"/>
  <c r="J10" i="5"/>
  <c r="K10" i="5"/>
  <c r="L10" i="5"/>
  <c r="C11" i="5"/>
  <c r="D11" i="5"/>
  <c r="E11" i="5"/>
  <c r="F11" i="5"/>
  <c r="K11" i="5"/>
  <c r="L11" i="5"/>
  <c r="M11" i="5"/>
  <c r="N11" i="5"/>
  <c r="F2" i="5"/>
  <c r="G2" i="5"/>
  <c r="H2" i="5"/>
  <c r="I2" i="5"/>
  <c r="N2" i="5"/>
  <c r="O2" i="5"/>
  <c r="P2" i="5"/>
  <c r="C2" i="5"/>
  <c r="J3" i="5"/>
  <c r="R5" i="5"/>
  <c r="G6" i="5"/>
  <c r="F7" i="5"/>
  <c r="D9" i="5"/>
  <c r="G10" i="5"/>
  <c r="H11" i="5"/>
  <c r="A3" i="4"/>
  <c r="A4" i="4"/>
  <c r="A5" i="4"/>
  <c r="G5" i="4" s="1"/>
  <c r="A6" i="4"/>
  <c r="A7" i="4"/>
  <c r="A8" i="4"/>
  <c r="A9" i="4"/>
  <c r="A10" i="4"/>
  <c r="A11" i="4"/>
  <c r="A12" i="4"/>
  <c r="G12" i="4" s="1"/>
  <c r="A13" i="4"/>
  <c r="H13" i="4" s="1"/>
  <c r="A2" i="4"/>
  <c r="I2" i="4" s="1"/>
  <c r="F3" i="4"/>
  <c r="F4" i="4"/>
  <c r="F6" i="4"/>
  <c r="G3" i="4"/>
  <c r="G9" i="4"/>
  <c r="G11" i="4"/>
  <c r="G13" i="4"/>
  <c r="H3" i="4"/>
  <c r="H6" i="4"/>
  <c r="H9" i="4"/>
  <c r="H11" i="4"/>
  <c r="H12" i="4"/>
  <c r="I3" i="4"/>
  <c r="I5" i="4"/>
  <c r="I9" i="4"/>
  <c r="I10" i="4"/>
  <c r="I11" i="4"/>
  <c r="I12" i="4"/>
  <c r="I13" i="4"/>
  <c r="J3" i="4"/>
  <c r="J5" i="4"/>
  <c r="J6" i="4"/>
  <c r="J7" i="4"/>
  <c r="J11" i="4"/>
  <c r="J12" i="4"/>
  <c r="J13" i="4"/>
  <c r="E3" i="4"/>
  <c r="E5" i="4"/>
  <c r="E6" i="4"/>
  <c r="E10" i="4"/>
  <c r="E11" i="4"/>
  <c r="E12" i="4"/>
  <c r="E13" i="4"/>
  <c r="E2" i="4"/>
  <c r="D3" i="4"/>
  <c r="D5" i="4"/>
  <c r="D6" i="4"/>
  <c r="D7" i="4"/>
  <c r="D8" i="4"/>
  <c r="D9" i="4"/>
  <c r="D10" i="4"/>
  <c r="D11" i="4"/>
  <c r="D12" i="4"/>
  <c r="D13" i="4"/>
  <c r="B3" i="4"/>
  <c r="B4" i="4"/>
  <c r="B5" i="4"/>
  <c r="B7" i="4"/>
  <c r="B9" i="4"/>
  <c r="B11" i="4"/>
  <c r="B12" i="4"/>
  <c r="B13" i="4"/>
  <c r="F2" i="4"/>
  <c r="U19" i="1"/>
  <c r="U20" i="1"/>
  <c r="U21" i="1"/>
  <c r="U22" i="1"/>
  <c r="U23" i="1"/>
  <c r="U24" i="1"/>
  <c r="U25" i="1"/>
  <c r="U26" i="1"/>
  <c r="U27" i="1"/>
  <c r="R16" i="1" a="1"/>
  <c r="R16" i="1" s="1"/>
  <c r="S16" i="1" s="1"/>
  <c r="S17" i="1"/>
  <c r="S18" i="1"/>
  <c r="S19" i="1"/>
  <c r="S20" i="1"/>
  <c r="S21" i="1"/>
  <c r="S22" i="1"/>
  <c r="S23" i="1"/>
  <c r="S24" i="1"/>
  <c r="S25" i="1"/>
  <c r="S26" i="1"/>
  <c r="S27" i="1"/>
  <c r="R17" i="1" a="1"/>
  <c r="R17" i="1" s="1"/>
  <c r="R18" i="1" a="1"/>
  <c r="R18" i="1" s="1"/>
  <c r="R19" i="1" a="1"/>
  <c r="R19" i="1" s="1"/>
  <c r="R20" i="1" a="1"/>
  <c r="R20" i="1" s="1"/>
  <c r="R21" i="1" a="1"/>
  <c r="R21" i="1" s="1"/>
  <c r="R22" i="1" a="1"/>
  <c r="R22" i="1"/>
  <c r="R23" i="1" a="1"/>
  <c r="R23" i="1" s="1"/>
  <c r="R24" i="1" a="1"/>
  <c r="R24" i="1" s="1"/>
  <c r="R25" i="1" a="1"/>
  <c r="R25" i="1" s="1"/>
  <c r="R26" i="1" a="1"/>
  <c r="R26" i="1" s="1"/>
  <c r="R27" i="1" a="1"/>
  <c r="R27" i="1" s="1"/>
  <c r="H15" i="1"/>
  <c r="T17" i="1"/>
  <c r="U17" i="1" s="1"/>
  <c r="T18" i="1"/>
  <c r="U18" i="1" s="1"/>
  <c r="T19" i="1"/>
  <c r="T20" i="1"/>
  <c r="T21" i="1"/>
  <c r="T22" i="1"/>
  <c r="T23" i="1"/>
  <c r="T24" i="1"/>
  <c r="T25" i="1"/>
  <c r="T26" i="1"/>
  <c r="T27" i="1"/>
  <c r="T16" i="1"/>
  <c r="U16" i="1" s="1"/>
  <c r="D30" i="1"/>
  <c r="C31" i="1"/>
  <c r="C32" i="1"/>
  <c r="C33" i="1"/>
  <c r="C34" i="1"/>
  <c r="C35" i="1"/>
  <c r="D35" i="1" s="1"/>
  <c r="C36" i="1"/>
  <c r="D36" i="1" s="1"/>
  <c r="C37" i="1"/>
  <c r="C38" i="1"/>
  <c r="D38" i="1" s="1"/>
  <c r="C39" i="1"/>
  <c r="C40" i="1"/>
  <c r="C41" i="1"/>
  <c r="C42" i="1"/>
  <c r="C43" i="1"/>
  <c r="D43" i="1" s="1"/>
  <c r="C30" i="1"/>
  <c r="D37" i="1"/>
  <c r="D39" i="1"/>
  <c r="D40" i="1"/>
  <c r="D41" i="1"/>
  <c r="D42" i="1"/>
  <c r="D31" i="1"/>
  <c r="D32" i="1"/>
  <c r="D33" i="1"/>
  <c r="B45" i="1"/>
  <c r="G15" i="1"/>
  <c r="I15" i="1"/>
  <c r="J15" i="1"/>
  <c r="K15" i="1"/>
  <c r="L15" i="1"/>
  <c r="M15" i="1"/>
  <c r="N15" i="1"/>
  <c r="O15" i="1"/>
  <c r="P15" i="1"/>
  <c r="F15" i="1"/>
  <c r="D15" i="1"/>
  <c r="E15" i="1"/>
  <c r="C15" i="1"/>
  <c r="A43" i="1"/>
  <c r="A42" i="1"/>
  <c r="A41" i="1"/>
  <c r="A40" i="1"/>
  <c r="A39" i="1"/>
  <c r="A38" i="1"/>
  <c r="A37" i="1"/>
  <c r="A36" i="1"/>
  <c r="A35" i="1"/>
  <c r="A34" i="1"/>
  <c r="A33" i="1"/>
  <c r="A32" i="1"/>
  <c r="A31" i="1"/>
  <c r="A30" i="1"/>
  <c r="J10" i="4" l="1"/>
  <c r="V10" i="4"/>
  <c r="N10" i="4"/>
  <c r="F5" i="4"/>
  <c r="F9" i="4"/>
  <c r="V9" i="4"/>
  <c r="N9" i="4"/>
  <c r="B8" i="4"/>
  <c r="V8" i="4"/>
  <c r="N8" i="4"/>
  <c r="F7" i="4"/>
  <c r="V7" i="4"/>
  <c r="N7" i="4"/>
  <c r="S2" i="4"/>
  <c r="N2" i="4"/>
  <c r="V2" i="4"/>
  <c r="I6" i="4"/>
  <c r="N6" i="4"/>
  <c r="V6" i="4"/>
  <c r="U13" i="4"/>
  <c r="N13" i="4"/>
  <c r="V13" i="4"/>
  <c r="U5" i="4"/>
  <c r="N5" i="4"/>
  <c r="V5" i="4"/>
  <c r="H5" i="4"/>
  <c r="F13" i="4"/>
  <c r="R12" i="4"/>
  <c r="N12" i="4"/>
  <c r="V12" i="4"/>
  <c r="R4" i="4"/>
  <c r="N4" i="4"/>
  <c r="V4" i="4"/>
  <c r="F12" i="4"/>
  <c r="U11" i="4"/>
  <c r="N11" i="4"/>
  <c r="V11" i="4"/>
  <c r="U3" i="4"/>
  <c r="N3" i="4"/>
  <c r="V3" i="4"/>
  <c r="Z8" i="5"/>
  <c r="AH8" i="5"/>
  <c r="AA8" i="5"/>
  <c r="AI8" i="5"/>
  <c r="V8" i="5"/>
  <c r="T8" i="5"/>
  <c r="AB8" i="5"/>
  <c r="AJ8" i="5"/>
  <c r="AC8" i="5"/>
  <c r="AG8" i="5"/>
  <c r="W8" i="5"/>
  <c r="Y8" i="5"/>
  <c r="AD8" i="5"/>
  <c r="AF8" i="5"/>
  <c r="X8" i="5"/>
  <c r="AE8" i="5"/>
  <c r="U8" i="5"/>
  <c r="P8" i="5"/>
  <c r="H8" i="5"/>
  <c r="N7" i="5"/>
  <c r="L6" i="5"/>
  <c r="D6" i="5"/>
  <c r="J5" i="5"/>
  <c r="Q8" i="5"/>
  <c r="AE7" i="5"/>
  <c r="V7" i="5"/>
  <c r="T7" i="5"/>
  <c r="X7" i="5"/>
  <c r="AF7" i="5"/>
  <c r="Y7" i="5"/>
  <c r="AG7" i="5"/>
  <c r="Z7" i="5"/>
  <c r="AH7" i="5"/>
  <c r="AD7" i="5"/>
  <c r="U7" i="5"/>
  <c r="AB7" i="5"/>
  <c r="W7" i="5"/>
  <c r="AI7" i="5"/>
  <c r="AJ7" i="5"/>
  <c r="AA7" i="5"/>
  <c r="AC7" i="5"/>
  <c r="O8" i="5"/>
  <c r="G8" i="5"/>
  <c r="M7" i="5"/>
  <c r="E7" i="5"/>
  <c r="K6" i="5"/>
  <c r="C6" i="5"/>
  <c r="I5" i="5"/>
  <c r="Q7" i="5"/>
  <c r="Q6" i="5"/>
  <c r="R8" i="5"/>
  <c r="N8" i="5"/>
  <c r="L7" i="5"/>
  <c r="J6" i="5"/>
  <c r="M8" i="5"/>
  <c r="E8" i="5"/>
  <c r="K7" i="5"/>
  <c r="C7" i="5"/>
  <c r="I6" i="5"/>
  <c r="O5" i="5"/>
  <c r="G5" i="5"/>
  <c r="R7" i="5"/>
  <c r="X2" i="5"/>
  <c r="AF2" i="5"/>
  <c r="AG2" i="5"/>
  <c r="AH2" i="5"/>
  <c r="AI2" i="5"/>
  <c r="W2" i="5"/>
  <c r="U2" i="5"/>
  <c r="AB2" i="5"/>
  <c r="AJ2" i="5"/>
  <c r="Y2" i="5"/>
  <c r="Z2" i="5"/>
  <c r="AA2" i="5"/>
  <c r="AE2" i="5"/>
  <c r="AC2" i="5"/>
  <c r="AD2" i="5"/>
  <c r="T2" i="5"/>
  <c r="V2" i="5"/>
  <c r="AD4" i="5"/>
  <c r="AE4" i="5"/>
  <c r="X4" i="5"/>
  <c r="AF4" i="5"/>
  <c r="Y4" i="5"/>
  <c r="AG4" i="5"/>
  <c r="W4" i="5"/>
  <c r="U4" i="5"/>
  <c r="T4" i="5"/>
  <c r="AI4" i="5"/>
  <c r="Z4" i="5"/>
  <c r="V4" i="5"/>
  <c r="AB4" i="5"/>
  <c r="AC4" i="5"/>
  <c r="AJ4" i="5"/>
  <c r="AA4" i="5"/>
  <c r="AH4" i="5"/>
  <c r="M2" i="5"/>
  <c r="E2" i="5"/>
  <c r="J11" i="5"/>
  <c r="P10" i="5"/>
  <c r="H10" i="5"/>
  <c r="N9" i="5"/>
  <c r="F9" i="5"/>
  <c r="L8" i="5"/>
  <c r="D8" i="5"/>
  <c r="J7" i="5"/>
  <c r="P6" i="5"/>
  <c r="H6" i="5"/>
  <c r="N5" i="5"/>
  <c r="F5" i="5"/>
  <c r="L4" i="5"/>
  <c r="D4" i="5"/>
  <c r="Q2" i="5"/>
  <c r="Q4" i="5"/>
  <c r="R6" i="5"/>
  <c r="AA3" i="5"/>
  <c r="AI3" i="5"/>
  <c r="AB3" i="5"/>
  <c r="AJ3" i="5"/>
  <c r="AC3" i="5"/>
  <c r="W3" i="5"/>
  <c r="U3" i="5"/>
  <c r="AD3" i="5"/>
  <c r="AH3" i="5"/>
  <c r="Y3" i="5"/>
  <c r="Z3" i="5"/>
  <c r="AE3" i="5"/>
  <c r="V3" i="5"/>
  <c r="AF3" i="5"/>
  <c r="X3" i="5"/>
  <c r="AG3" i="5"/>
  <c r="T3" i="5"/>
  <c r="L2" i="5"/>
  <c r="D2" i="5"/>
  <c r="I11" i="5"/>
  <c r="O10" i="5"/>
  <c r="M9" i="5"/>
  <c r="E9" i="5"/>
  <c r="K8" i="5"/>
  <c r="C8" i="5"/>
  <c r="I7" i="5"/>
  <c r="O6" i="5"/>
  <c r="M5" i="5"/>
  <c r="E5" i="5"/>
  <c r="K4" i="5"/>
  <c r="C4" i="5"/>
  <c r="I3" i="5"/>
  <c r="Q11" i="5"/>
  <c r="Q3" i="5"/>
  <c r="AB6" i="5"/>
  <c r="AJ6" i="5"/>
  <c r="AC6" i="5"/>
  <c r="AD6" i="5"/>
  <c r="AE6" i="5"/>
  <c r="AA6" i="5"/>
  <c r="V6" i="5"/>
  <c r="U6" i="5"/>
  <c r="X6" i="5"/>
  <c r="W6" i="5"/>
  <c r="Z6" i="5"/>
  <c r="AF6" i="5"/>
  <c r="Y6" i="5"/>
  <c r="AG6" i="5"/>
  <c r="T6" i="5"/>
  <c r="AH6" i="5"/>
  <c r="AI6" i="5"/>
  <c r="F8" i="5"/>
  <c r="D7" i="5"/>
  <c r="Y5" i="5"/>
  <c r="AG5" i="5"/>
  <c r="Z5" i="5"/>
  <c r="AH5" i="5"/>
  <c r="AA5" i="5"/>
  <c r="AI5" i="5"/>
  <c r="AB5" i="5"/>
  <c r="AJ5" i="5"/>
  <c r="X5" i="5"/>
  <c r="T5" i="5"/>
  <c r="U5" i="5"/>
  <c r="AF5" i="5"/>
  <c r="W5" i="5"/>
  <c r="AC5" i="5"/>
  <c r="AE5" i="5"/>
  <c r="AD5" i="5"/>
  <c r="V5" i="5"/>
  <c r="X10" i="5"/>
  <c r="AF10" i="5"/>
  <c r="Y10" i="5"/>
  <c r="AG10" i="5"/>
  <c r="W10" i="5"/>
  <c r="U10" i="5"/>
  <c r="Z10" i="5"/>
  <c r="AH10" i="5"/>
  <c r="AA10" i="5"/>
  <c r="AI10" i="5"/>
  <c r="V10" i="5"/>
  <c r="T10" i="5"/>
  <c r="AB10" i="5"/>
  <c r="AD10" i="5"/>
  <c r="AE10" i="5"/>
  <c r="AJ10" i="5"/>
  <c r="AC10" i="5"/>
  <c r="K2" i="5"/>
  <c r="P11" i="5"/>
  <c r="N10" i="5"/>
  <c r="F10" i="5"/>
  <c r="L9" i="5"/>
  <c r="J8" i="5"/>
  <c r="P7" i="5"/>
  <c r="H7" i="5"/>
  <c r="N6" i="5"/>
  <c r="F6" i="5"/>
  <c r="L5" i="5"/>
  <c r="D5" i="5"/>
  <c r="J4" i="5"/>
  <c r="P3" i="5"/>
  <c r="H3" i="5"/>
  <c r="Q10" i="5"/>
  <c r="R2" i="5"/>
  <c r="R4" i="5"/>
  <c r="Q5" i="5"/>
  <c r="AA11" i="5"/>
  <c r="AI11" i="5"/>
  <c r="AB11" i="5"/>
  <c r="AJ11" i="5"/>
  <c r="AC11" i="5"/>
  <c r="W11" i="5"/>
  <c r="U11" i="5"/>
  <c r="AD11" i="5"/>
  <c r="Z11" i="5"/>
  <c r="AF11" i="5"/>
  <c r="AH11" i="5"/>
  <c r="AE11" i="5"/>
  <c r="V11" i="5"/>
  <c r="X11" i="5"/>
  <c r="AG11" i="5"/>
  <c r="T11" i="5"/>
  <c r="Y11" i="5"/>
  <c r="AC9" i="5"/>
  <c r="W9" i="5"/>
  <c r="U9" i="5"/>
  <c r="AD9" i="5"/>
  <c r="AE9" i="5"/>
  <c r="V9" i="5"/>
  <c r="T9" i="5"/>
  <c r="X9" i="5"/>
  <c r="AF9" i="5"/>
  <c r="AJ9" i="5"/>
  <c r="Y9" i="5"/>
  <c r="AA9" i="5"/>
  <c r="AH9" i="5"/>
  <c r="AG9" i="5"/>
  <c r="AI9" i="5"/>
  <c r="Z9" i="5"/>
  <c r="AB9" i="5"/>
  <c r="J2" i="5"/>
  <c r="O11" i="5"/>
  <c r="G11" i="5"/>
  <c r="M10" i="5"/>
  <c r="E10" i="5"/>
  <c r="K9" i="5"/>
  <c r="C9" i="5"/>
  <c r="I8" i="5"/>
  <c r="O7" i="5"/>
  <c r="G7" i="5"/>
  <c r="M6" i="5"/>
  <c r="E6" i="5"/>
  <c r="K5" i="5"/>
  <c r="C5" i="5"/>
  <c r="I4" i="5"/>
  <c r="O3" i="5"/>
  <c r="G3" i="5"/>
  <c r="Q9" i="5"/>
  <c r="R11" i="5"/>
  <c r="R3" i="5"/>
  <c r="D4" i="4"/>
  <c r="E4" i="4"/>
  <c r="J4" i="4"/>
  <c r="G4" i="4"/>
  <c r="I4" i="4"/>
  <c r="H4" i="4"/>
  <c r="K2" i="4"/>
  <c r="K6" i="4"/>
  <c r="L10" i="4"/>
  <c r="M2" i="4"/>
  <c r="M6" i="4"/>
  <c r="O2" i="4"/>
  <c r="O6" i="4"/>
  <c r="P13" i="4"/>
  <c r="P5" i="4"/>
  <c r="Q8" i="4"/>
  <c r="R11" i="4"/>
  <c r="R3" i="4"/>
  <c r="S6" i="4"/>
  <c r="T10" i="4"/>
  <c r="U2" i="4"/>
  <c r="X12" i="4"/>
  <c r="X10" i="4"/>
  <c r="X8" i="4"/>
  <c r="X6" i="4"/>
  <c r="X4" i="4"/>
  <c r="K13" i="4"/>
  <c r="K5" i="4"/>
  <c r="L9" i="4"/>
  <c r="M13" i="4"/>
  <c r="M5" i="4"/>
  <c r="O13" i="4"/>
  <c r="O5" i="4"/>
  <c r="P12" i="4"/>
  <c r="P4" i="4"/>
  <c r="Q7" i="4"/>
  <c r="R10" i="4"/>
  <c r="S13" i="4"/>
  <c r="S5" i="4"/>
  <c r="T9" i="4"/>
  <c r="W12" i="4"/>
  <c r="W10" i="4"/>
  <c r="W8" i="4"/>
  <c r="W6" i="4"/>
  <c r="W4" i="4"/>
  <c r="K12" i="4"/>
  <c r="K4" i="4"/>
  <c r="L8" i="4"/>
  <c r="M12" i="4"/>
  <c r="M4" i="4"/>
  <c r="O12" i="4"/>
  <c r="O4" i="4"/>
  <c r="P11" i="4"/>
  <c r="P3" i="4"/>
  <c r="Q6" i="4"/>
  <c r="R9" i="4"/>
  <c r="S12" i="4"/>
  <c r="S4" i="4"/>
  <c r="T8" i="4"/>
  <c r="W2" i="4"/>
  <c r="K11" i="4"/>
  <c r="K3" i="4"/>
  <c r="L7" i="4"/>
  <c r="M11" i="4"/>
  <c r="M3" i="4"/>
  <c r="O11" i="4"/>
  <c r="O3" i="4"/>
  <c r="P10" i="4"/>
  <c r="Q13" i="4"/>
  <c r="Q5" i="4"/>
  <c r="R8" i="4"/>
  <c r="S11" i="4"/>
  <c r="S3" i="4"/>
  <c r="T7" i="4"/>
  <c r="X2" i="4"/>
  <c r="U12" i="4"/>
  <c r="U10" i="4"/>
  <c r="U8" i="4"/>
  <c r="U6" i="4"/>
  <c r="U4" i="4"/>
  <c r="K10" i="4"/>
  <c r="L2" i="4"/>
  <c r="L6" i="4"/>
  <c r="M10" i="4"/>
  <c r="O10" i="4"/>
  <c r="P2" i="4"/>
  <c r="P9" i="4"/>
  <c r="Q12" i="4"/>
  <c r="Q4" i="4"/>
  <c r="R7" i="4"/>
  <c r="S10" i="4"/>
  <c r="T2" i="4"/>
  <c r="T6" i="4"/>
  <c r="X13" i="4"/>
  <c r="X11" i="4"/>
  <c r="X9" i="4"/>
  <c r="X7" i="4"/>
  <c r="X5" i="4"/>
  <c r="X3" i="4"/>
  <c r="K9" i="4"/>
  <c r="L13" i="4"/>
  <c r="L5" i="4"/>
  <c r="M9" i="4"/>
  <c r="O9" i="4"/>
  <c r="Q2" i="4"/>
  <c r="P8" i="4"/>
  <c r="Q11" i="4"/>
  <c r="Q3" i="4"/>
  <c r="R6" i="4"/>
  <c r="S9" i="4"/>
  <c r="T13" i="4"/>
  <c r="T5" i="4"/>
  <c r="W13" i="4"/>
  <c r="W11" i="4"/>
  <c r="W9" i="4"/>
  <c r="W7" i="4"/>
  <c r="W5" i="4"/>
  <c r="W3" i="4"/>
  <c r="F10" i="4"/>
  <c r="K8" i="4"/>
  <c r="L12" i="4"/>
  <c r="L4" i="4"/>
  <c r="M8" i="4"/>
  <c r="O8" i="4"/>
  <c r="R2" i="4"/>
  <c r="P7" i="4"/>
  <c r="Q10" i="4"/>
  <c r="R13" i="4"/>
  <c r="R5" i="4"/>
  <c r="S8" i="4"/>
  <c r="T12" i="4"/>
  <c r="T4" i="4"/>
  <c r="B2" i="4"/>
  <c r="F11" i="4"/>
  <c r="K7" i="4"/>
  <c r="L11" i="4"/>
  <c r="L3" i="4"/>
  <c r="M7" i="4"/>
  <c r="O7" i="4"/>
  <c r="P6" i="4"/>
  <c r="Q9" i="4"/>
  <c r="S7" i="4"/>
  <c r="T11" i="4"/>
  <c r="T3" i="4"/>
  <c r="U9" i="4"/>
  <c r="U7" i="4"/>
  <c r="E9" i="4"/>
  <c r="J9" i="4"/>
  <c r="H8" i="4"/>
  <c r="B6" i="4"/>
  <c r="J8" i="4"/>
  <c r="H7" i="4"/>
  <c r="G10" i="4"/>
  <c r="B10" i="4"/>
  <c r="I8" i="4"/>
  <c r="G6" i="4"/>
  <c r="G8" i="4"/>
  <c r="G7" i="4"/>
  <c r="E8" i="4"/>
  <c r="I7" i="4"/>
  <c r="H10" i="4"/>
  <c r="F8" i="4"/>
  <c r="E7" i="4"/>
  <c r="G2" i="4"/>
  <c r="D2" i="4"/>
  <c r="J2" i="4"/>
  <c r="H2" i="4"/>
  <c r="D34" i="1"/>
  <c r="D45"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<sst xmlns="http://schemas.openxmlformats.org/spreadsheetml/2006/main" count="420" uniqueCount="272">
  <si>
    <t>Participant Key</t>
  </si>
  <si>
    <t>What is the primary goal of the agent?</t>
  </si>
  <si>
    <t>Did the agent complete its task?</t>
  </si>
  <si>
    <t>What are the main action categories performed by the agent?</t>
  </si>
  <si>
    <t>What is the most frequently performed action?</t>
  </si>
  <si>
    <t>What is the key challenge or issue the agent encounters during the task?</t>
  </si>
  <si>
    <t>Does the agent exhibit any repetitive behavior? If so, describe one example.</t>
  </si>
  <si>
    <r>
      <t xml:space="preserve">What specific changes does the agent make to the </t>
    </r>
    <r>
      <rPr>
        <b/>
        <sz val="10"/>
        <color theme="1"/>
        <rFont val="Arial"/>
        <family val="2"/>
      </rPr>
      <t>cli.py</t>
    </r>
    <r>
      <rPr>
        <sz val="10"/>
        <color theme="1"/>
        <rFont val="Arial"/>
        <family val="2"/>
      </rPr>
      <t xml:space="preserve"> file when it </t>
    </r>
    <r>
      <rPr>
        <b/>
        <sz val="10"/>
        <color theme="1"/>
        <rFont val="Arial"/>
        <family val="2"/>
      </rPr>
      <t>first</t>
    </r>
    <r>
      <rPr>
        <sz val="10"/>
        <color theme="1"/>
        <rFont val="Arial"/>
        <family val="2"/>
      </rPr>
      <t xml:space="preserve"> modifies it?</t>
    </r>
  </si>
  <si>
    <r>
      <t xml:space="preserve">Which specific files does the agent modify to implement the </t>
    </r>
    <r>
      <rPr>
        <b/>
        <sz val="10"/>
        <color theme="1"/>
        <rFont val="Arial"/>
        <family val="2"/>
      </rPr>
      <t>income report generation</t>
    </r>
    <r>
      <rPr>
        <sz val="10"/>
        <color theme="1"/>
        <rFont val="Arial"/>
        <family val="2"/>
      </rPr>
      <t xml:space="preserve"> feature?</t>
    </r>
  </si>
  <si>
    <r>
      <t xml:space="preserve">What feedback does the agent receive after its </t>
    </r>
    <r>
      <rPr>
        <b/>
        <sz val="10"/>
        <color theme="1"/>
        <rFont val="Arial"/>
        <family val="2"/>
      </rPr>
      <t>first</t>
    </r>
    <r>
      <rPr>
        <sz val="10"/>
        <color theme="1"/>
        <rFont val="Arial"/>
        <family val="2"/>
      </rPr>
      <t xml:space="preserve"> attempt to run the test script for the finance tracker, and how does it influence the next action?</t>
    </r>
  </si>
  <si>
    <t>Which Python packages does the agent install over the course of the run?</t>
  </si>
  <si>
    <r>
      <t xml:space="preserve">What feedback does the agent receive from running the test script for the finance tracker </t>
    </r>
    <r>
      <rPr>
        <b/>
        <sz val="10"/>
        <color theme="1"/>
        <rFont val="Arial"/>
        <family val="2"/>
      </rPr>
      <t>after it has solved all import issues</t>
    </r>
    <r>
      <rPr>
        <sz val="10"/>
        <color theme="1"/>
        <rFont val="Arial"/>
        <family val="2"/>
      </rPr>
      <t>?</t>
    </r>
  </si>
  <si>
    <r>
      <t xml:space="preserve">Which file is the agent primarily focused on modifying </t>
    </r>
    <r>
      <rPr>
        <b/>
        <sz val="10"/>
        <color theme="1"/>
        <rFont val="Arial"/>
        <family val="2"/>
      </rPr>
      <t xml:space="preserve">towards the end </t>
    </r>
    <r>
      <rPr>
        <sz val="10"/>
        <color theme="1"/>
        <rFont val="Arial"/>
        <family val="2"/>
      </rPr>
      <t>of the run?</t>
    </r>
  </si>
  <si>
    <r>
      <t xml:space="preserve">Does the agent ever attempt to make the same change </t>
    </r>
    <r>
      <rPr>
        <b/>
        <sz val="10"/>
        <color theme="1"/>
        <rFont val="Arial"/>
        <family val="2"/>
      </rPr>
      <t>twice</t>
    </r>
    <r>
      <rPr>
        <sz val="10"/>
        <color theme="1"/>
        <rFont val="Arial"/>
        <family val="2"/>
      </rPr>
      <t xml:space="preserve"> before reevaluating the tests? If so, describe one instance.</t>
    </r>
  </si>
  <si>
    <t>Analyze the final four changes the agent makes to the repository. How do these changes relate to each other?</t>
  </si>
  <si>
    <t>Mental Demand</t>
  </si>
  <si>
    <t>Temporal Demand</t>
  </si>
  <si>
    <t>Performance</t>
  </si>
  <si>
    <t>Effort</t>
  </si>
  <si>
    <t>Frustration</t>
  </si>
  <si>
    <t>No, the task was not completed.</t>
  </si>
  <si>
    <t>pandas and matplotlib</t>
  </si>
  <si>
    <t>IndentationError</t>
  </si>
  <si>
    <t>cli.py</t>
  </si>
  <si>
    <t>49F7</t>
  </si>
  <si>
    <t>The agents goal is to add an income tracking feature to a personal finance tracker written in python</t>
  </si>
  <si>
    <t>Listing directories (ls), printing file contents (cat), writing file contents (str_replace_editor), running program (python3)</t>
  </si>
  <si>
    <t>str_replace_editor (replacing parts of a file)</t>
  </si>
  <si>
    <t>It is unable to indent properly (IndentationError)</t>
  </si>
  <si>
    <t>Yes, it keeps "replacing" the line '    def do_generate_income_report(self, arg):' in /finance_tracker/cli.py with the same value, not knowing that the actual problem is that 'def __init__(self):' has no proper body.</t>
  </si>
  <si>
    <t>--- a/finance_tracker/cli.py
+++ b/finance_tracker/cli.py
@@ -4,6 +4,7 @@ from finance_tracker.expenses import ExpenseTracker
 from finance_tracker.budgets import BudgetManager
 from finance_tracker.users import UserManager
 from finance_tracker.reports import FinancialReport
+from finance_tracker.income import IncomeTracker
 from datetime import datetime
 class FinanceTrackerCLI(cmd.Cmd):
(str_replace_editor str_replace /finance_tracker/finance_tracker/cli.py   --old_str 'from finance_tracker.reports import FinancialReport' --new_str 'from finance_tracker.reports import FinancialReport)</t>
  </si>
  <si>
    <t>cli.py, README.md</t>
  </si>
  <si>
    <t>Traceback (most recent call last):
  File "/finance_tracker/finance_tracker/tests/test_income.py", line 5, in &lt;module&gt;
    from finance_tracker.reports import FinancialReport
  File "/finance_tracker/finance_tracker/reports.py", line 5, in &lt;module&gt;
    import pandas as pd
ModuleNotFoundError: No module named 'pandas'
it then proceeds to installing pandas using 'pip install pandas'</t>
  </si>
  <si>
    <t>pandas, matplotlib</t>
  </si>
  <si>
    <t>Traceback (most recent call last):   File "/finance_tracker/finance_tracker/tests/test_income.py", line 7, in &lt;module&gt;     from finance_tracker.cli import FinanceTrackerCLI   File "/finance_tracker/finance_tracker/cli.py", line 41     def do_generate_income_report(self, arg):     ^ IndentationError: expected an indented block after function definition on line 40</t>
  </si>
  <si>
    <t>str_replace_editor str_replace /finance_tracker/finance_tracker/cli.py   --old_str '    def do_generate_income_report(self, arg):' --new_str '    def do_generate_income_report(self, arg):
        """Generate an income report: generate_income_report [start_date] [end_date]"""
        if not self.current_user:
            print("Please login first")
            return
        args = arg.split()
        start_date = args[0] if len(args) &gt; 0 else None
        end_date = args[1] if len(args) &gt; 1 else None
        try:
            report_data = self.income_tracker.generate_income_summary(start_date, end_date)
            print(json.dumps(report_data, indent=2))
        except Exception as e:
            print(f"Error: {e}")
'
It does this repeatedly without changing anything, re-runs the test and repeats.</t>
  </si>
  <si>
    <t>The agent does the same changes five times, sometimes running the test in between and sometimes not</t>
  </si>
  <si>
    <t>536E</t>
  </si>
  <si>
    <t>income tracking feature as detailed in the PR description for the finance tracker project</t>
  </si>
  <si>
    <t>Yes, the task was completed successfully.</t>
  </si>
  <si>
    <t>execute bash commands, tool call, file reading, update function</t>
  </si>
  <si>
    <t>tool call</t>
  </si>
  <si>
    <t>IndentationError, indicating a syntax error</t>
  </si>
  <si>
    <t>Yes, he wanted to create a IncomeTracker class with different descriptions</t>
  </si>
  <si>
    <t>replace a string in the File, altering the import statement for FinancialReport and adding IncomeTracker</t>
  </si>
  <si>
    <t>report.py</t>
  </si>
  <si>
    <t>Enhance the `finance_tracker` project by adding income tracking functionality to complement the existing expense, budget, user, and reporting features. The feature allows users to record income sources, track income by category and date, calculate net balance, and integrate with reporting and CLI.</t>
  </si>
  <si>
    <t>Observations, replacements, package installation</t>
  </si>
  <si>
    <t>Observations</t>
  </si>
  <si>
    <t>FunctionCallingFormatError</t>
  </si>
  <si>
    <t>The Agent requeries the model 3 times in a row after a FunctionCallingFormatError</t>
  </si>
  <si>
    <t>- `add_income &lt;amount&gt; &lt;category&gt; &lt;description&gt; [tags] [recurring] [period]`
  - `generate_income_report [start_date] [end_date]`</t>
  </si>
  <si>
    <t>ModuleNotFoundError&gt; No module named 'pandas'</t>
  </si>
  <si>
    <t>matplotlib, pandas</t>
  </si>
  <si>
    <t>The Agent compares two different versions of the cli.py file</t>
  </si>
  <si>
    <t>0078</t>
  </si>
  <si>
    <t>The agents goal is to implement an income tracking feature to a python project with cli functionality and integrating it into the rest of the program.</t>
  </si>
  <si>
    <t>Adding functionality of income tracking and integrating it into the CLI</t>
  </si>
  <si>
    <t>adding the income report generation to the cli</t>
  </si>
  <si>
    <t>The agent seems to have troubles with python syntax, i.e., the indentation (IndentationError)</t>
  </si>
  <si>
    <t>Yes, it does. It requests multiple times to “Create the 'IncomeTracker' class ... to satisfy the PR description", the commit titles also indicate this with multiple "Add income report generation to CLI"</t>
  </si>
  <si>
    <t xml:space="preserve">import cmd
2
import argparse
3
from finance_tracker.expenses import ExpenseTracker
4
from finance_tracker.budgets import BudgetManager
5
from finance_tracker.users import UserManager
6
from finance_tracker.reports import FinancialReport
7
from finance_tracker.income import IncomeTracker
8
from datetime import datetime
9
10
class FinanceTrackerCLI(cmd.Cmd):
11
    """Command-line interface for the finance tracker."""
12
    prompt = "FinanceTracker&gt; "
13
    intro = "Welcome to the Personal Finance Tracker. Type 'help' for commands."
14
15
    def __init__(self):
16
        super().__init__()
17
        self.user_manager = UserManager()
18
        self.current_user = None
19
        self.expense_tracker = None
20
        self.budget_manager = None
21
        self.report_generator = None
22
23
    def do_login(self, arg):
24
        """Login to the system: login &lt;username&gt; &lt;password&gt;"""
25
        args = arg.split()
26
        if len(args) != 2:
27
            print("Usage: login &lt;username&gt; &lt;password&gt;")
28
            return
29
        username, password = args
30
        if self.user_manager.authenticate_user(username, password):
31
            self.current_user = username
32
            self.expense_tracker = ExpenseTracker(username)
33
            self.budget_manager = BudgetManager(username)
34
            self.report_generator = FinancialReport(username, self.expense_tracker, self.budget_manager)
35
            print(f"Logged in as {username}")
36
        else:
37
            print("Invalid username or password")
38
39
    def do_register(self, arg):
40
        """Register a new user: register &lt;username&gt; &lt;password&gt; &lt;email&gt;"""
41
        args = arg.split()
42
        if len(args) != 3:
43
            print("Usage: register &lt;username&gt; &lt;password&gt; &lt;email&gt;")
44
            return
45
        try:
46
            self.user_manager.register_user(*args)
47
            print(f"User {args[0]} registered successfully")
48
        except ValueError as e:
49
            print(f"Error: {e}")
50
51
    def do_add_expense(self, arg):
52
        """Add an expense: add_expense &lt;amount&gt; &lt;category&gt; &lt;description&gt; [tags] [recurring] [period]"""
53
        if not self.current_user:
54
            print("Please login first")
55
            return
56
        args = arg.split()
57
        if len(args) &lt; 3:
58
            print("Usage: add_expense &lt;amount&gt; &lt;category&gt; &lt;description&gt; [tags] [recurring] [period]")
59
            return
60
        amount, category, description = args[:3]
61
        tags = args[3].split(",") if len(args) &gt; 3 else []
62
        is_recurring = args[4].lower() == "true" if len(args) &gt; 4 else False
63
        period = args[5] if len(args) &gt; 5 else None
64
        try:
65
            expense_id = self.expense_tracker.add_expense(float(amount), category, description, 
66
                                                         tags=tags, is_recurring=is_recurring, 
67
                                                         recurrence_period=period)
68
            print(f"Expense added with ID: {expense_id}")
69
        except ValueError as e:
70
            print(f"Error: {e}")
71
72
    def do_set_budget(self, arg):
73
        """Set a budget: set_budget &lt;category&gt; &lt;amount&gt; [period] [alert_threshold]"""
74
        if not self.current_user:
75
            print("Please login first")
76
            return
77
        args = arg.split()
78
        if len(args) &lt; 2:
79
            print("Usage: set_budget &lt;category&gt; &lt;amount&gt; [period] [alert_threshold]")
80
            return
81
        category, amount = args[:2]
82
        period = args[2] if len(args) &gt; 2 else "monthly"
83
        alert_threshold = float(args[3]) if len(args) &gt; 3 else 0.8
84
        try:
85
            self.budget_manager.set_budget(category, float(amount), period, alert_threshold)
86
            print(f"Budget set for {category} ({period})")
87
        except ValueError as e:
88
            print(f"Error: {e}")
89
90
    def do_generate_report(self, arg):
91
        """Generate a report: generate_report &lt;type&gt; [start_date] [end_date]"""
92
        if not self.current_user:
93
            print("Please login first")
94
            return
95
        args = arg.split()
96
        if len(args) &lt; 1:
97
            print("Usage: generate_report &lt;type&gt; [start_date] [end_date]")
98
            return
99
        report_type = args[0]
100
        start_date = args[1] if len(args) &gt; 1 else None
101
        end_date = args[2] if len(args) &gt; 2 else None
102
        try:
103
            report_file = self.report_generator.generate_report_pdf(report_type, start_date, end_date)
104
            print(f"Report generated: {report_file}")
105
        except Exception as e:
106
            print(f"Error: {e}")
107
108
    def do_exit(self, arg):
109
        """Exit the CLI."""
110
        print("Goodbye!")
111
        return True
112
113
    def preloop(self):
114
        """Initialize CLI state."""
115
        print("Personal Finance Tracker CLI. Type 'register' or 'login' to begin.")
</t>
  </si>
  <si>
    <t xml:space="preserve">cli.py, report.py, income.py </t>
  </si>
  <si>
    <t>Error (ModuleNotFoundError: No module named 'pandas'); next the agent asks the LLM what to do, the LLM suggests to install pandas with pip</t>
  </si>
  <si>
    <t>An indentation error</t>
  </si>
  <si>
    <t xml:space="preserve">first test, then error so next "updated logic" </t>
  </si>
  <si>
    <t>1d20</t>
  </si>
  <si>
    <t>The goal is to implement a new feature as described by a PR description</t>
  </si>
  <si>
    <t>Listing contents of a directory, reading a file writing to a file, creating a new file, modifying a file via diff syntax, running bash commands</t>
  </si>
  <si>
    <t>Modifying the contents of a file</t>
  </si>
  <si>
    <t>The agent has trouble fixing a syntax error (the indentation error)</t>
  </si>
  <si>
    <t>The agent modified a part of the code that was not the erroneous part of the code. It tried multiple times to fix the indentation error by modifying a different part of the code.</t>
  </si>
  <si>
    <t>7 + from finance_tracker.income import IncomeTracker</t>
  </si>
  <si>
    <t>income.py, expenses.py, reports.py, cli.py</t>
  </si>
  <si>
    <t>It gets the missing module error, and it tries to install the missing library</t>
  </si>
  <si>
    <t>It encounters the indentation error</t>
  </si>
  <si>
    <t xml:space="preserve">	str_replace_editor str_replace /finance_tracker/finance_tracker/cli.py   --old_str '    def do_generate_income_report(self, arg):' --new_str '    def do_generate_income_report(self, arg):\n        \"\"\"Generate an income report: generate_income_report [start_date] [end_date]\"\"\"\n        if not self.current_user:\n            print(\"Please login first\")\n            return\n        args = arg.split()\n        start_date = args[0] if len(args) &gt; 0 else None\n        end_date = args[1] if len(args) &gt; 1 else None\n        try:\n            report_data = self.income_tracker.generate_income_summary(start_date, end_date)\n            print(json.dumps(report_data, indent=2))\n        except Exception as e:\n            print(f\"Error: {e}\")\n'</t>
  </si>
  <si>
    <t>They are all modifying the same location of the code, which is not the location that needs a fix. Their purpose is to fix the indentation error, but the edits are the same.</t>
  </si>
  <si>
    <t>bdb6</t>
  </si>
  <si>
    <t>It's a helpful assistant that can interact with a computer to solve tasks.</t>
  </si>
  <si>
    <t>ls, cat, str_replace_editor, python3</t>
  </si>
  <si>
    <t>cat</t>
  </si>
  <si>
    <t>IndentationError: expected an indented block after function definition on line 40</t>
  </si>
  <si>
    <t>The agent calls ls /finance_tracker/finance_tracker three times in succession, resulting in WARNING</t>
  </si>
  <si>
    <t>str_replace_editor str_replace /finance_tracker/finance_tracker/cli.py   --old_str 'from finance_tracker.reports import FinancialReport' --new_str 'from finance_tracker.reports import FinancialReport</t>
  </si>
  <si>
    <t xml:space="preserve">/finance_tracker/finance_tracker/cli.py </t>
  </si>
  <si>
    <t>OBSERVATION:
Traceback (most recent call last):
  File "/finance_tracker/finance_tracker/tests/test_income.py", line 5, in &lt;module&gt;
    from finance_tracker.reports import FinancialReport
  File "/finance_tracker/finance_tracker/reports.py", line 5, in &lt;module&gt;
    import pandas as pd
ModuleNotFoundError: No module named 'pandas'
pip install pandas</t>
  </si>
  <si>
    <t xml:space="preserve">pandas, matplotlib, </t>
  </si>
  <si>
    <t>OBSERVATION: Traceback (most recent call last):   File "/finance_tracker/finance_tracker/tests/test_income.py", line 7, in &lt;module&gt;     from finance_tracker.cli import FinanceTrackerCLI   File "/finance_tracker/finance_tracker/cli.py", line 41     def do_generate_income_report(self, arg):     ^ IndentationError: expected an indented block after function definition on line 40</t>
  </si>
  <si>
    <t>/finance_tracker/finance_tracker/cli.py</t>
  </si>
  <si>
    <t>str_replace_editor str_replace /finance_tracker/finance_tracker/cli.py   --old_str '    def do_generate_income_report(self, arg):' --new_str '    def do_generate_income_report(self, arg):
        """Generate an income report: generate_income_report [start_date] [end_date]"""
        if not self.current_user:
            print("Please login first")
            return
        args = arg.split()
        start_date = args[0] if len(args) &gt; 0 else None
        end_date = args[1] if len(args) &gt; 1 else None
        try:
            report_data = self.income_tracker.generate_income_summary(start_date, end_date)
            print(json.dumps(report_data, indent=2))
        except Exception as e:
            print(f"Error: {e}")
'</t>
  </si>
  <si>
    <t>They are the exact same change</t>
  </si>
  <si>
    <t>33c6</t>
  </si>
  <si>
    <t>Implementing a feature as suggested by a pull request</t>
  </si>
  <si>
    <t>listing files, showing file content, make modifications to files, create files, execute tests, install dependencies</t>
  </si>
  <si>
    <t>editing files</t>
  </si>
  <si>
    <t>Trying to add code to generate an income report. After multiple tries of making this change the tests always fail with an IndentationError.</t>
  </si>
  <si>
    <t>The agent adds the code for generating an income report 6 times in a row before execution ends. It is always the same code change.</t>
  </si>
  <si>
    <t xml:space="preserve">object		{2}
tool	:	str_replace_editor str_replace /finance_tracker/finance_tracker/cli.py   --old_str 'from finance_tracker.reports import FinancialReport' --new_str 'from finance_tracker.reports import FinancialReport\nfrom finance_tracker.income import IncomeTracker'
args	:	null
</t>
  </si>
  <si>
    <t>cli.py, reports.py, expenses.py, income.py</t>
  </si>
  <si>
    <t>Traceback (most recent call last):
  File "/finance_tracker/finance_tracker/tests/test_income.py", line 5, in &lt;module&gt;
    from finance_tracker.reports import FinancialReport
  File "/finance_tracker/finance_tracker/reports.py", line 5, in &lt;module&gt;
    import pandas as pd
ModuleNotFoundError: No module named 'pandas'
The agent then installs the pandas dependency using pip</t>
  </si>
  <si>
    <t>Yes. Tool call 1: object		{2}
tool	:	str_replace_editor str_replace /finance_tracker/finance_tracker/cli.py   --old_str '    def do_generate_income_report(self, arg):' --new_str '    def do_generate_income_report(self, arg):\n        \"\"\"Generate an income report: generate_income_report [start_date] [end_date]\"\"\"\n        if not self.current_user:\n            print(\"Please login first\")\n            return\n        args = arg.split()\n        start_date = args[0] if len(args) &gt; 0 else None\n        end_date = args[1] if len(args) &gt; 1 else None\n        try:\n            report_data = self.income_tracker.generate_income_summary(start_date, end_date)\n            print(json.dumps(report_data, indent=2))\n        except Exception as e:\n            print(f\"Error: {e}\")\n'
args	:	null
Tool call 2: 	object		{2}
tool	:	str_replace_editor str_replace /finance_tracker/finance_tracker/cli.py   --old_str '    def do_generate_income_report(self, arg):' --new_str '    def do_generate_income_report(self, arg):\n        \"\"\"Generate an income report: generate_income_report [start_date] [end_date]\"\"\"\n        if not self.current_user:\n            print(\"Please login first\")\n            return\n        args = arg.split()\n        start_date = args[0] if len(args) &gt; 0 else None\n        end_date = args[1] if len(args) &gt; 1 else None\n        try:\n            report_data = self.income_tracker.generate_income_summary(start_date, end_date)\n            print(json.dumps(report_data, indent=2))\n        except Exception as e:\n            print(f\"Error: {e}\")\n'
args	:	null</t>
  </si>
  <si>
    <t>They are all making the same change to cli.py.</t>
  </si>
  <si>
    <t>e43c</t>
  </si>
  <si>
    <t>The agent goal is to implement necessary changes following the requirements in a pull requests. It will need to first analyses this task step by step and provide candidate solutions. Then, they need to run tools to validate the correctness of candidates solutions. Finally, they will submit the solutions if they pass the validation.</t>
  </si>
  <si>
    <t>run tools, generate solutions, fix solutions, submit solutions</t>
  </si>
  <si>
    <t>run tools</t>
  </si>
  <si>
    <t>The agent has trouble on generating compilable code. Some errors include "ModuleNotFoundError", indicating they fail to setup environment correctly, and "IndentationError", indicating they fails to generate syntactically correct code.</t>
  </si>
  <si>
    <t>Yes, the agent run programs, found some face indentation errors and then fixing these errors 4 times in a row before stopping.</t>
  </si>
  <si>
    <t>+from finance_tracker.income import IncomeTracker</t>
  </si>
  <si>
    <t>The agent get a feedback that a dependency, i.e., pandas, was missing. "ModuleNotFoundError: No module named 'pandas'" Based on this feedback the agent installed this module in next action.</t>
  </si>
  <si>
    <t>Yes "Found submission: diff --git a/finance_tracker/cli.py b/finance_tracker/cli.py"</t>
  </si>
  <si>
    <t>They tried to fix same error and return same fix for all turns.</t>
  </si>
  <si>
    <t>bdf7</t>
  </si>
  <si>
    <t>The agent's goal is to implement an finance tracker application by creating and testing the required functionalities.</t>
  </si>
  <si>
    <t>Read content, Implement code, Test code, and fix code</t>
  </si>
  <si>
    <t>Fix code</t>
  </si>
  <si>
    <t>The agent has trouble implementing a correct version of the income tracker</t>
  </si>
  <si>
    <t>Create the `IncomeTracker` class in `income.py` and update related files in the `finance_tracker` directory to incorporate income tracking features as outlined in the PR description.</t>
  </si>
  <si>
    <t>The file /finance_tracker/finance_tracker/cli.py has been edited. Here's the result of running `cat -n` on a snippet of /finance_tracker/finance_tracker/cli.py:
The file /finance_tracker/finance_tracker/reports.py has been edited. Here's the result of running `cat -n` on a snippet of /finance_tracker/finance_tracker/reports.py:
     1	import cmd
    32	            "period": f"{start_date or 'all'} to {end_date or 'all'}",
     2	import argparse
    33	            "category_totals": categories,
     3	from finance_tracker.expenses import ExpenseTracker
    34	            "total": sum(categories.values())
     4	from finance_tracker.budgets import BudgetManager
    35	        }
     5	from finance_tracker.users import UserManager
    36	
     6	from finance_tracker.reports import FinancialReport
    37	    def generate_income_summary(self, start_date: str = None, end_date: str = None) -&gt; Dict:
     7	from finance_tracker.income import IncomeTracker
    38	        """Generate a summary of income by category."""
     8	from datetime import datetime
    39	        incomes = self.income_tracker.incomes
     9	
    40	        if start_date and end_date:
    10	class FinanceTrackerCLI(cmd.Cmd):
    41	            incomes = [inc for inc in incomes if start_date &lt;= inc.date &lt;= end_date]
    42	        categories = {}
    43	        for inc in incomes:
    44	            cat = inc.category
    45	            categories[cat] = categories.get(cat, 0.0) + inc.amount
    46	        return {
    47	            "user_id": self.user_id,
    48	            "period": f"{start_date or 'all'} to {end_date or 'all'}",
    49	            "category_totals": categories,
    50	            "total": sum(categories.values())
    51	        }
    52	
    53	    def generate_budget_comparison(self, period: str = "monthly") -&gt; List[Dict]:
    54	        """Compare spending against budgets."""
    55	        budgets = self.budget_manager.get_all_budgets()
    56	        comparison = []
Review the changes and make sure they are as expected. Edit the file again if necessary.
Review the changes and make sure they are as expected. Edit the file again if necessary.</t>
  </si>
  <si>
    <t>matplotlib</t>
  </si>
  <si>
    <t>67c3</t>
  </si>
  <si>
    <t>financetracher/cli.py</t>
  </si>
  <si>
    <t>fe6c</t>
  </si>
  <si>
    <t>The goal is to enhance the `finance_tracker` project by adding income tracking functionality to complement the existing expense, budget, user, and reporting features.</t>
  </si>
  <si>
    <t xml:space="preserve">Gather relevant information',  'summarize requirements', 'code implementation and show the diff', 'run tests and solve runtime errors' </t>
  </si>
  <si>
    <t>run tests and modify the code to solve errors.</t>
  </si>
  <si>
    <t>Yes, maybe the step where it try to solve the same runtime errors again and again.</t>
  </si>
  <si>
    <t>--old_str 'from finance_tracker.reports import FinancialReport' --new_str 'from finance_tracker.reports import FinancialReport
from finance_tracker.income import IncomeTracker'</t>
  </si>
  <si>
    <t>finance_tracker/cli.py, finance_tracker/reports.py</t>
  </si>
  <si>
    <t>ModuleNotFoundError: No module named 'pandas'. The agent installs the package, and allows  the execution go with no reference errors.</t>
  </si>
  <si>
    <t>pandas</t>
  </si>
  <si>
    <t>Find and describe all potential bugs!</t>
  </si>
  <si>
    <t>Docker commands are not allowed on the system. The agent is told upfront that this is not possible, but it does it anyways. At first, it correctly uses write_to_file instead, but when the docker container fails to start for an unspecified reason, the agent tries to "escape" into a new shell that does not have this restriction or issues with the docker command. That is prohibited as well. ...</t>
  </si>
  <si>
    <t>The command line could not handle the agents input. It repeats it self.</t>
  </si>
  <si>
    <t>Problem: it seems that the files which should be read have invalid syntax. The Agent is does not seem to be able to fix it...
Potential Bug: The Bug seems to be related with java, maybe the installation failed, or java is not yet a environment variable.</t>
  </si>
  <si>
    <t xml:space="preserve">The agent tries to use forbidden commands (for which it has no permission) multiple times. It also tries to chain commands, which also does not seem to work. 
The LLM suggests to write a dockerfile, but the agent runs into problems. 
The agent and LLM do not seem to recognize that they are running in circles. 
It seems like after "The agent acknowledges that the LLM's training data is current only until October 2023.", the agent loses its "history" and tries commands again which have not worked before. </t>
  </si>
  <si>
    <t>The main issue is that the agent was never able to create a working dockerfile to try different approaches to resolve the problem. The main problem I see in this trajectory is that the error message from one write to a dockerfile was not returned to the agent. The other logic problem that could exist is that the agent seems to not have a good instruction on that it has to first create a dockerfile to be able to run all bash commands.</t>
  </si>
  <si>
    <t>I don't see any obvious problem with agent's logic.</t>
  </si>
  <si>
    <t>At the beginning the LLM tries to run a bash command to setup openjdk eventhough it is not allowed to do this at that state. In the second tool call it tries to run an unallowed command. The third LLM response is empty as the LLM rejects the prompt. Similar problems occur multiple times. The agent continues to fail to create a script for seting up the docker environment. After a while the LLM is able to successfully call the tool to write a docker file, but the agent fails to start the docker image. It tries this multiple more times but it is not clear why it fails.</t>
  </si>
  <si>
    <t>I think the error lies on tool design to execute command. This based on the observation that this error message "SYSTEM:  Unable to execute command" repeat 39 times in the logs. Without executing the command, the agent cannot define the next steps, leading to failures.</t>
  </si>
  <si>
    <t>The agent executes commands that are not available or allowed</t>
  </si>
  <si>
    <t>Agent's decision making: the failed command outputs mention that more commands could be run in a docker container, but the agent fails to adjust the next steps to adapt it. Logic: allows the failed steps repeat multiple times.</t>
  </si>
  <si>
    <t>Test 'org.apache.commons.csv.CSVParserTest::testGetLineNumberWithCR' fails. However, the agent only is shown code from code from 'org.apache.commons.csv.CSVParserTest::testGetLineNumberWithCRLF'</t>
  </si>
  <si>
    <t>The fix description from the agent isnt good enough for the LLM.</t>
  </si>
  <si>
    <t>it proposes the same fix over and over again.</t>
  </si>
  <si>
    <t>The LLM suggests to update the read method to account for both \r and \n characters, but the agent misinterprets it and removes the \n (which was correct), instead of adding a new if-case for \r.</t>
  </si>
  <si>
    <t>It seems that the tool implementation is buggy and when the agent tries to modify the file, the process does not work correctly. From my inspections the agent tries to modify something, but the resulting file contents are not as expected.</t>
  </si>
  <si>
    <t>I do not see an fatal bug but continued warning of repetition detected! with repeated write_fix seems concerning. The core should give more drastic guidance or the warning is not effective.</t>
  </si>
  <si>
    <t>The LLM calls the write_fix tool with a meaningful fix trying to modify the line 58 to also handle other line endings. There seems to however be a bug in the implementation of applying the proposed fix to the repository. The file is not correctly modified but the line to modify is only removed.</t>
  </si>
  <si>
    <t xml:space="preserve">The write_fix() tool should generate the patch and apply this patch to current repository by modifying the read() method. However, I guess it only generate the fix and do not apply into current repository. That is reason why the test results are always failures. </t>
  </si>
  <si>
    <t>The agent calls the write_fix tool to fix the problem but nothing is changed</t>
  </si>
  <si>
    <t xml:space="preserve">Agent's logic: failed to change to another method to fix the issue. Implementation: the line break conditional statements seems was incorrect at some point. </t>
  </si>
  <si>
    <t>Completion Time</t>
  </si>
  <si>
    <t>Execute solutions and take over corrections</t>
  </si>
  <si>
    <t>Ask and add error fixes</t>
  </si>
  <si>
    <t>Missing libraries, non-working feature</t>
  </si>
  <si>
    <t>I think so</t>
  </si>
  <si>
    <t>No access to the environment and therefore can’t install or update anything, missing tools that are supposed to be used</t>
  </si>
  <si>
    <t>Max Points</t>
  </si>
  <si>
    <t>Question</t>
  </si>
  <si>
    <t>Grade</t>
  </si>
  <si>
    <t>Total</t>
  </si>
  <si>
    <t>Scale Multiplier</t>
  </si>
  <si>
    <t>Overall %</t>
  </si>
  <si>
    <t>Max Points (Scaled)</t>
  </si>
  <si>
    <t>18e7</t>
  </si>
  <si>
    <t>The agent goal is to implement new feature or new function-ality- that was described in the PR specifically the income tracking feature for a finance tracker project.</t>
  </si>
  <si>
    <t>File editing, File listing, Executing commands such as execute script and install package</t>
  </si>
  <si>
    <t>File editing</t>
  </si>
  <si>
    <t>Correctly editing the file? as there are many indentation errors…</t>
  </si>
  <si>
    <t>Yes there was some repetition, e.g, repeated listing of files at the start</t>
  </si>
  <si>
    <t>1
import cmd
2
import argparse
3
from finance_tracker.expenses import ExpenseTracker
4
from finance_tracker.budgets import BudgetManager
5
from finance_tracker.users import UserManager
6
from finance_tracker.reports import FinancialReport
7
from finance_tracker.income import IncomeTracker
8
from datetime import datetime
9
10
class FinanceTrackerCLI(cmd.Cmd):
11
    """Command-line interface for the finance tracker."""
12
    prompt = "FinanceTracker&gt; "
13
    intro = "Welcome to the Personal Finance Tracker. Type 'help' for commands."
14
15
    def __init__(self):
16
        super().__init__()
17
        self.user_manager = UserManager()
18
        self.current_user = None
19
        self.expense_tracker = None
20
        self.budget_manager = None
21
        self.report_generator = None
22
23
    def do_login(self, arg):
24
        """Login to the system: login &lt;username&gt; &lt;password&gt;"""
25
        args = arg.split()
26
        if len(args) != 2:
27
            print("Usage: login &lt;username&gt; &lt;password&gt;")
28
            return
29
        username, password = args
30
        if self.user_manager.authenticate_user(username, password):
31
            self.current_user = username
32
            self.expense_tracker = ExpenseTracker(username)
33
            self.budget_manager = BudgetManager(username)
34
            self.report_generator = FinancialReport(username, self.expense_tracker, self.budget_manager)
35
            print(f"Logged in as {username}")
36
        else:
37
            print("Invalid username or password")
38
39
    def do_register(self, arg):
40
        """Register a new user: register &lt;username&gt; &lt;password&gt; &lt;email&gt;"""
41
        args = arg.split()
42
        if len(args) != 3:
43
            print("Usage: register &lt;username&gt; &lt;password&gt; &lt;email&gt;")
44
            return
45
        try:
46
            self.user_manager.register_user(*args)
47
            print(f"User {args[0]} registered successfully")
48
        except ValueError as e:
49
            print(f"Error: {e}")
50
51
    def do_add_expense(self, arg):
52
        """Add an expense: add_expense &lt;amount&gt; &lt;category&gt; &lt;description&gt; [tags] [recurring] [period]"""
53
        if not self.current_user:
54
            print("Please login first")
55
            return
56
        args = arg.split()
57
        if len(args) &lt; 3:
58
            print("Usage: add_expense &lt;amount&gt; &lt;category&gt; &lt;description&gt; [tags] [recurring] [period]")
59
            return
60
        amount, category, description = args[:3]
61
        tags = args[3].split(",") if len(args) &gt; 3 else []
62
        is_recurring = args[4].lower() == "true" if len(args) &gt; 4 else False
63
        period = args[5] if len(args) &gt; 5 else None
64
        try:
65
            expense_id = self.expense_tracker.add_expense(float(amount), category, description, 
66
                                                         tags=tags, is_recurring=is_recurring, 
67
                                                         recurrence_period=period)
68
            print(f"Expense added with ID: {expense_id}")
69
        except ValueError as e:
70
            print(f"Error: {e}")
71
72
    def do_set_budget(self, arg):
73
        """Set a budget: set_budget &lt;category&gt; &lt;amount&gt; [period] [alert_threshold]"""
74
        if not self.current_user:
75
            print("Please login first")
76
            return
77
        args = arg.split()
78
        if len(args) &lt; 2:
79
            print("Usage: set_budget &lt;category&gt; &lt;amount&gt; [period] [alert_threshold]")
80
            return
81
        category, amount = args[:2]
82
        period = args[2] if len(args) &gt; 2 else "monthly"
83
        alert_threshold = float(args[3]) if len(args) &gt; 3 else 0.8
84
        try:
85
            self.budget_manager.set_budget(category, float(amount), period, alert_threshold)
86
            print(f"Budget set for {category} ({period})")
87
        except ValueError as e:
88
            print(f"Error: {e}")
89
90
    def do_generate_report(self, arg):
91
        """Generate a report: generate_report &lt;type&gt; [start_date] [end_date]"""
92
        if not self.current_user:
93
            print("Please login first")
94
            return
95
        args = arg.split()
96
        if len(args) &lt; 1:
97
            print("Usage: generate_report &lt;type&gt; [start_date] [end_date]")
98
            return
99
        report_type = args[0]
100
        start_date = args[1] if len(args) &gt; 1 else None
101
        end_date = args[2] if len(args) &gt; 2 else None
102
        try:
103
            report_file = self.report_generator.generate_report_pdf(report_type, start_date, end_date)
104
            print(f"Report generated: {report_file}")
105
        except Exception as e:
106
            print(f"Error: {e}")
107
108
    def do_exit(self, arg):
109
        """Exit the CLI."""
110
        print("Goodbye!")
111
        return True
112
113
    def preloop(self):
114
        """Initialize CLI state."""
115
        print("Personal Finance Tracker CLI. Type 'register' or 'login' to begin.")</t>
  </si>
  <si>
    <t xml:space="preserve">income.py, expenses.py, reports.py, cli.py, README, </t>
  </si>
  <si>
    <t>Missing module pandas, the agent fixes it by installing the package</t>
  </si>
  <si>
    <t>Error indicating indentation problems</t>
  </si>
  <si>
    <t>There is a replace old income report and old method generation before running tests but not sure if they count as same change twice. Otherwise No.</t>
  </si>
  <si>
    <t>From the diff comparison they look similar</t>
  </si>
  <si>
    <t>Total Points (Scaled)</t>
  </si>
  <si>
    <t>Group</t>
  </si>
  <si>
    <t>B</t>
  </si>
  <si>
    <t>A</t>
  </si>
  <si>
    <t>49f7</t>
  </si>
  <si>
    <t>536e</t>
  </si>
  <si>
    <t>5694</t>
  </si>
  <si>
    <t>Points (Not Scaled)</t>
  </si>
  <si>
    <t>Task 1 Performance %</t>
  </si>
  <si>
    <t>Task 2 Score</t>
  </si>
  <si>
    <t>Task 3 Score</t>
  </si>
  <si>
    <t>Task 1 Time</t>
  </si>
  <si>
    <t>Task 2 Time</t>
  </si>
  <si>
    <t>Task 3 Time</t>
  </si>
  <si>
    <t>Task 1 Mental Demand</t>
  </si>
  <si>
    <t>Task 1 Temporal Demand</t>
  </si>
  <si>
    <t>Task 1 Perceived Perf.</t>
  </si>
  <si>
    <t>Task 1 Effort</t>
  </si>
  <si>
    <t>Task 1 Frustration</t>
  </si>
  <si>
    <t>Task 2 Mental Demand</t>
  </si>
  <si>
    <t>Task 2 Temporal Demand</t>
  </si>
  <si>
    <t>Task 2 Perceived Perf.</t>
  </si>
  <si>
    <t>Task 3 Effort</t>
  </si>
  <si>
    <t>Task 2 Effort</t>
  </si>
  <si>
    <t>Task 2 Frustration</t>
  </si>
  <si>
    <t>Task 3 Mental Demand</t>
  </si>
  <si>
    <t>Task 3 Temporal Demand</t>
  </si>
  <si>
    <t>Task 3 Perceived Perf.</t>
  </si>
  <si>
    <t>Task 3 Frustration</t>
  </si>
  <si>
    <t>Task_1_A1</t>
  </si>
  <si>
    <t>Task_1_A2</t>
  </si>
  <si>
    <t>Task_1_A3</t>
  </si>
  <si>
    <t>Task_1_A4</t>
  </si>
  <si>
    <t>Task_1_A5</t>
  </si>
  <si>
    <t>Task_1_A6</t>
  </si>
  <si>
    <t>Task_1_A7</t>
  </si>
  <si>
    <t>Task_1_A8</t>
  </si>
  <si>
    <t>Task_1_A9</t>
  </si>
  <si>
    <t>Task_1_A10</t>
  </si>
  <si>
    <t>Task_1_A11</t>
  </si>
  <si>
    <t>Task_1_A12</t>
  </si>
  <si>
    <t>Task_1_A13</t>
  </si>
  <si>
    <t>Task_1_A14</t>
  </si>
  <si>
    <t>Email</t>
  </si>
  <si>
    <t>1</t>
  </si>
  <si>
    <t>Task_2</t>
  </si>
  <si>
    <t>Task_3</t>
  </si>
  <si>
    <t>Task_1_Perf</t>
  </si>
  <si>
    <t>Task_1_P_Scaled</t>
  </si>
  <si>
    <t>Task_1_p</t>
  </si>
  <si>
    <t>Percentile</t>
  </si>
  <si>
    <t>Task_1_G1</t>
  </si>
  <si>
    <t>Task_1_G2</t>
  </si>
  <si>
    <t>Task_1_G3</t>
  </si>
  <si>
    <t>Task_1_G4</t>
  </si>
  <si>
    <t>Task_1_G5</t>
  </si>
  <si>
    <t>Task_1_G6</t>
  </si>
  <si>
    <t>Task_1_G7</t>
  </si>
  <si>
    <t>Task_1_G8</t>
  </si>
  <si>
    <t>Task_1_G9</t>
  </si>
  <si>
    <t>Task_1_G10</t>
  </si>
  <si>
    <t>Task_1_G11</t>
  </si>
  <si>
    <t>Task_1_G12</t>
  </si>
  <si>
    <t>Task_1_G13</t>
  </si>
  <si>
    <t>Task_1_G14</t>
  </si>
  <si>
    <t>Task_2_A</t>
  </si>
  <si>
    <t>Task_3_A</t>
  </si>
  <si>
    <t>Task_1_M1</t>
  </si>
  <si>
    <t>Task_1_M2</t>
  </si>
  <si>
    <t>Task_1_M3</t>
  </si>
  <si>
    <t>Task_1_M4</t>
  </si>
  <si>
    <t>Task_1_M5</t>
  </si>
  <si>
    <t>Task_1_M6</t>
  </si>
  <si>
    <t>Task_1_M7</t>
  </si>
  <si>
    <t>Task_1_M8</t>
  </si>
  <si>
    <t>Task_1_M9</t>
  </si>
  <si>
    <t>Task_1_M10</t>
  </si>
  <si>
    <t>Task_1_M11</t>
  </si>
  <si>
    <t>Task_1_M12</t>
  </si>
  <si>
    <t>Task_1_M13</t>
  </si>
  <si>
    <t>Task_1_M14</t>
  </si>
  <si>
    <t>Task_2_M</t>
  </si>
  <si>
    <t>Task_3_M</t>
  </si>
  <si>
    <t>Max_Scaled</t>
  </si>
  <si>
    <t>Max_Unscaled</t>
  </si>
  <si>
    <t>Total Points (Unscaled)</t>
  </si>
  <si>
    <t>Task_1_P_Unscaled</t>
  </si>
  <si>
    <t>None</t>
  </si>
  <si>
    <t>Basic</t>
  </si>
  <si>
    <t>Moderate</t>
  </si>
  <si>
    <t>Advanced</t>
  </si>
  <si>
    <t>Familiarity with LLM Agents</t>
  </si>
  <si>
    <t>Familiarity Level</t>
  </si>
  <si>
    <t>REDACTED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</si>
</sst>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11" x14ac:knownFonts="1">
    <font>
      <sz val="10"/>
      <color rgb="FF000000"/>
      <name val="Arial"/>
      <scheme val="minor"/>
    </font>
    <font>
      <sz val="10"/>
      <color theme="1"/>
      <name val="Arial"/>
      <family val="2"/>
      <scheme val="minor"/>
    </font>
    <font>
      <u/>
      <sz val="10"/>
      <color rgb="FF0000FF"/>
      <name val="Roboto"/>
    </font>
    <font>
      <u/>
      <sz val="10"/>
      <color rgb="FF0000FF"/>
      <name val="Roboto"/>
    </font>
    <font>
      <u/>
      <sz val="10"/>
      <color rgb="FF0000FF"/>
      <name val="Roboto"/>
    </font>
    <font>
      <b/>
      <sz val="10"/>
      <color theme="1"/>
      <name val="Arial"/>
      <family val="2"/>
    </font>
    <font>
      <sz val="10"/>
      <color theme="1"/>
      <name val="Arial"/>
      <family val="2"/>
    </font>
    <font>
      <sz val="10"/>
      <color rgb="FF000000"/>
      <name val="Arial"/>
      <family val="2"/>
      <scheme val="minor"/>
    </font>
    <font>
      <b/>
      <sz val="10"/>
      <color rgb="FF000000"/>
      <name val="Arial"/>
      <family val="2"/>
      <scheme val="minor"/>
    </font>
    <font>
      <sz val="8"/>
      <name val="Arial"/>
      <family val="2"/>
      <scheme val="minor"/>
    </font>
    <font>
      <i/>
      <sz val="10"/>
      <color rgb="FF000000"/>
      <name val="Arial"/>
      <family val="2"/>
      <scheme val="minor"/>
    </font>
  </fonts>
  <fills count="2">
    <fill>
      <patternFill patternType="none"/>
    </fill>
    <fill>
      <patternFill patternType="gray125"/>
    </fill>
  </fills>
  <borders count="22">
    <border>
      <left/>
      <right/>
      <top/>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F8F9FA"/>
      </left>
      <right style="thin">
        <color rgb="FFF8F9FA"/>
      </right>
      <top style="thin">
        <color rgb="FFF8F9FA"/>
      </top>
      <bottom style="thin">
        <color rgb="FF442F65"/>
      </bottom>
      <diagonal/>
    </border>
    <border>
      <left style="thin">
        <color rgb="FFF8F9FA"/>
      </left>
      <right style="thin">
        <color rgb="FF442F65"/>
      </right>
      <top style="thin">
        <color rgb="FFF8F9FA"/>
      </top>
      <bottom style="thin">
        <color rgb="FF442F65"/>
      </bottom>
      <diagonal/>
    </border>
    <border>
      <left/>
      <right/>
      <top/>
      <bottom style="medium">
        <color auto="1"/>
      </bottom>
      <diagonal/>
    </border>
    <border>
      <left style="medium">
        <color auto="1"/>
      </left>
      <right/>
      <top/>
      <bottom/>
      <diagonal/>
    </border>
    <border>
      <left/>
      <right style="thin">
        <color rgb="FF442F65"/>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thin">
        <color rgb="FFF8F9FA"/>
      </left>
      <right style="thin">
        <color rgb="FFF8F9FA"/>
      </right>
      <top style="thin">
        <color rgb="FFF8F9FA"/>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s>
  <cellStyleXfs count="2">
    <xf numFmtId="0" fontId="0" fillId="0" borderId="0"/>
    <xf numFmtId="9" fontId="7" fillId="0" borderId="0" applyFont="0" applyFill="0" applyBorder="0" applyAlignment="0" applyProtection="0"/>
  </cellStyleXfs>
  <cellXfs count="83">
    <xf numFmtId="0" fontId="0" fillId="0" borderId="0" xfId="0"/>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vertical="center"/>
    </xf>
    <xf numFmtId="0" fontId="2" fillId="0" borderId="3"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3" fillId="0" borderId="5" xfId="0" applyFont="1" applyBorder="1" applyAlignment="1">
      <alignment vertical="center"/>
    </xf>
    <xf numFmtId="0" fontId="1" fillId="0" borderId="6" xfId="0" applyFont="1" applyBorder="1" applyAlignment="1">
      <alignment vertical="center"/>
    </xf>
    <xf numFmtId="0" fontId="1" fillId="0" borderId="3" xfId="0" quotePrefix="1" applyFont="1" applyBorder="1" applyAlignment="1">
      <alignment vertical="center"/>
    </xf>
    <xf numFmtId="0" fontId="1" fillId="0" borderId="7" xfId="0" applyFont="1" applyBorder="1" applyAlignment="1">
      <alignment vertical="center"/>
    </xf>
    <xf numFmtId="0" fontId="1" fillId="0" borderId="7" xfId="0" quotePrefix="1" applyFont="1" applyBorder="1" applyAlignment="1">
      <alignment vertical="center"/>
    </xf>
    <xf numFmtId="0" fontId="4" fillId="0" borderId="7" xfId="0" applyFont="1" applyBorder="1" applyAlignment="1">
      <alignment vertical="center"/>
    </xf>
    <xf numFmtId="0" fontId="1" fillId="0" borderId="8" xfId="0" applyFont="1" applyBorder="1" applyAlignment="1">
      <alignment vertical="center"/>
    </xf>
    <xf numFmtId="0" fontId="1" fillId="0" borderId="5" xfId="0" applyFont="1" applyBorder="1" applyAlignment="1">
      <alignment vertical="center" wrapText="1"/>
    </xf>
    <xf numFmtId="0" fontId="7" fillId="0" borderId="0" xfId="0" applyFont="1"/>
    <xf numFmtId="20" fontId="1" fillId="0" borderId="5" xfId="0" applyNumberFormat="1" applyFont="1" applyBorder="1" applyAlignment="1">
      <alignment vertical="center"/>
    </xf>
    <xf numFmtId="20" fontId="1" fillId="0" borderId="3" xfId="0" applyNumberFormat="1" applyFont="1" applyBorder="1" applyAlignment="1">
      <alignment vertical="center"/>
    </xf>
    <xf numFmtId="20" fontId="1" fillId="0" borderId="3" xfId="0" quotePrefix="1" applyNumberFormat="1" applyFont="1" applyBorder="1" applyAlignment="1">
      <alignment vertical="center"/>
    </xf>
    <xf numFmtId="20" fontId="1" fillId="0" borderId="7" xfId="0" applyNumberFormat="1" applyFont="1" applyBorder="1" applyAlignment="1">
      <alignment vertical="center"/>
    </xf>
    <xf numFmtId="21" fontId="1" fillId="0" borderId="3" xfId="0" applyNumberFormat="1" applyFont="1" applyBorder="1" applyAlignment="1">
      <alignment vertical="center"/>
    </xf>
    <xf numFmtId="164" fontId="1" fillId="0" borderId="3" xfId="0" applyNumberFormat="1" applyFont="1" applyBorder="1" applyAlignment="1">
      <alignment vertical="center"/>
    </xf>
    <xf numFmtId="0" fontId="3" fillId="0" borderId="3" xfId="0" applyFont="1" applyBorder="1" applyAlignment="1">
      <alignment vertical="center"/>
    </xf>
    <xf numFmtId="0" fontId="8" fillId="0" borderId="0" xfId="0" applyFont="1"/>
    <xf numFmtId="0" fontId="1" fillId="0" borderId="3" xfId="0" applyFont="1" applyBorder="1" applyAlignment="1">
      <alignment vertical="center" wrapText="1"/>
    </xf>
    <xf numFmtId="0" fontId="1" fillId="0" borderId="7" xfId="0" applyFont="1" applyBorder="1" applyAlignment="1">
      <alignment vertical="center" wrapText="1"/>
    </xf>
    <xf numFmtId="0" fontId="0" fillId="0" borderId="9" xfId="0" applyBorder="1"/>
    <xf numFmtId="0" fontId="0" fillId="0" borderId="10" xfId="0" applyBorder="1"/>
    <xf numFmtId="9" fontId="0" fillId="0" borderId="0" xfId="1" applyFont="1"/>
    <xf numFmtId="0" fontId="1" fillId="0" borderId="0" xfId="0" applyFont="1" applyAlignment="1">
      <alignment vertical="center"/>
    </xf>
    <xf numFmtId="0" fontId="1" fillId="0" borderId="0" xfId="0" applyFont="1" applyAlignment="1">
      <alignment vertical="center" wrapText="1"/>
    </xf>
    <xf numFmtId="0" fontId="2" fillId="0" borderId="0" xfId="0" applyFont="1" applyAlignment="1">
      <alignment vertical="center"/>
    </xf>
    <xf numFmtId="0" fontId="1" fillId="0" borderId="11" xfId="0" applyFont="1" applyBorder="1" applyAlignment="1">
      <alignment vertical="center"/>
    </xf>
    <xf numFmtId="49" fontId="1" fillId="0" borderId="0" xfId="0" quotePrefix="1" applyNumberFormat="1" applyFont="1" applyAlignment="1">
      <alignment vertical="center"/>
    </xf>
    <xf numFmtId="164" fontId="1" fillId="0" borderId="5" xfId="0" quotePrefix="1" applyNumberFormat="1" applyFont="1" applyBorder="1" applyAlignment="1">
      <alignment vertical="center"/>
    </xf>
    <xf numFmtId="164" fontId="1" fillId="0" borderId="5" xfId="0" applyNumberFormat="1" applyFont="1" applyBorder="1" applyAlignment="1">
      <alignment vertical="center"/>
    </xf>
    <xf numFmtId="164" fontId="1" fillId="0" borderId="3" xfId="0" quotePrefix="1" applyNumberFormat="1" applyFont="1" applyBorder="1" applyAlignment="1">
      <alignment vertical="center"/>
    </xf>
    <xf numFmtId="164" fontId="1" fillId="0" borderId="7" xfId="0" applyNumberFormat="1" applyFont="1" applyBorder="1" applyAlignment="1">
      <alignment vertical="center"/>
    </xf>
    <xf numFmtId="49" fontId="0" fillId="0" borderId="0" xfId="0" applyNumberFormat="1"/>
    <xf numFmtId="49" fontId="7" fillId="0" borderId="0" xfId="0" applyNumberFormat="1" applyFont="1"/>
    <xf numFmtId="0" fontId="8" fillId="0" borderId="12" xfId="0" applyFont="1" applyBorder="1"/>
    <xf numFmtId="0" fontId="8" fillId="0" borderId="13" xfId="0" applyFont="1" applyBorder="1"/>
    <xf numFmtId="0" fontId="8" fillId="0" borderId="14" xfId="0" applyFont="1" applyBorder="1"/>
    <xf numFmtId="0" fontId="0" fillId="0" borderId="15" xfId="0" applyBorder="1"/>
    <xf numFmtId="0" fontId="0" fillId="0" borderId="16" xfId="0" applyBorder="1"/>
    <xf numFmtId="0" fontId="0" fillId="0" borderId="17" xfId="0" applyBorder="1"/>
    <xf numFmtId="49" fontId="0" fillId="0" borderId="0" xfId="1" applyNumberFormat="1" applyFont="1" applyBorder="1"/>
    <xf numFmtId="49" fontId="0" fillId="0" borderId="9" xfId="1" applyNumberFormat="1" applyFont="1" applyBorder="1"/>
    <xf numFmtId="164" fontId="0" fillId="0" borderId="0" xfId="0" applyNumberFormat="1"/>
    <xf numFmtId="2" fontId="0" fillId="0" borderId="0" xfId="0" applyNumberFormat="1"/>
    <xf numFmtId="164" fontId="0" fillId="0" borderId="15" xfId="1" applyNumberFormat="1" applyFont="1" applyBorder="1"/>
    <xf numFmtId="164" fontId="0" fillId="0" borderId="17" xfId="1" applyNumberFormat="1" applyFont="1" applyBorder="1"/>
    <xf numFmtId="49" fontId="0" fillId="0" borderId="10" xfId="0" applyNumberFormat="1" applyBorder="1"/>
    <xf numFmtId="49" fontId="0" fillId="0" borderId="16" xfId="0" applyNumberFormat="1" applyBorder="1"/>
    <xf numFmtId="49" fontId="1" fillId="0" borderId="5" xfId="0" applyNumberFormat="1" applyFont="1" applyBorder="1" applyAlignment="1">
      <alignment vertical="center"/>
    </xf>
    <xf numFmtId="49" fontId="1" fillId="0" borderId="3" xfId="0" quotePrefix="1" applyNumberFormat="1" applyFont="1" applyBorder="1" applyAlignment="1">
      <alignment vertical="center"/>
    </xf>
    <xf numFmtId="49" fontId="1" fillId="0" borderId="3" xfId="0" applyNumberFormat="1" applyFont="1" applyBorder="1" applyAlignment="1">
      <alignment vertical="center"/>
    </xf>
    <xf numFmtId="49" fontId="1" fillId="0" borderId="7" xfId="0" applyNumberFormat="1" applyFont="1" applyBorder="1" applyAlignment="1">
      <alignment vertical="center"/>
    </xf>
    <xf numFmtId="49" fontId="7" fillId="0" borderId="0" xfId="0" quotePrefix="1" applyNumberFormat="1" applyFont="1"/>
    <xf numFmtId="49" fontId="7" fillId="0" borderId="10" xfId="0" quotePrefix="1" applyNumberFormat="1" applyFont="1" applyBorder="1"/>
    <xf numFmtId="49" fontId="1" fillId="0" borderId="5" xfId="0" quotePrefix="1" applyNumberFormat="1" applyFont="1" applyBorder="1" applyAlignment="1">
      <alignment vertical="center"/>
    </xf>
    <xf numFmtId="0" fontId="1" fillId="0" borderId="5" xfId="0" quotePrefix="1" applyFont="1" applyBorder="1" applyAlignment="1">
      <alignment vertical="center"/>
    </xf>
    <xf numFmtId="0" fontId="1" fillId="0" borderId="18" xfId="0" applyFont="1" applyBorder="1" applyAlignment="1">
      <alignment vertical="center"/>
    </xf>
    <xf numFmtId="2" fontId="0" fillId="0" borderId="0" xfId="1" applyNumberFormat="1" applyFont="1"/>
    <xf numFmtId="0" fontId="7" fillId="0" borderId="10" xfId="0" quotePrefix="1" applyFont="1" applyBorder="1"/>
    <xf numFmtId="0" fontId="7" fillId="0" borderId="15" xfId="0" applyFont="1" applyBorder="1"/>
    <xf numFmtId="0" fontId="7" fillId="0" borderId="17" xfId="0" applyFont="1" applyBorder="1"/>
    <xf numFmtId="49" fontId="8" fillId="0" borderId="12" xfId="0" applyNumberFormat="1" applyFont="1" applyBorder="1"/>
    <xf numFmtId="11" fontId="8" fillId="0" borderId="12" xfId="0" quotePrefix="1" applyNumberFormat="1" applyFont="1" applyBorder="1"/>
    <xf numFmtId="0" fontId="7" fillId="0" borderId="0" xfId="0" applyFont="1" applyAlignment="1">
      <alignment horizontal="center"/>
    </xf>
    <xf numFmtId="0" fontId="8" fillId="0" borderId="0" xfId="0" applyFont="1" applyAlignment="1">
      <alignment horizontal="center" vertical="center" textRotation="90"/>
    </xf>
    <xf numFmtId="0" fontId="0" fillId="0" borderId="10" xfId="0" applyBorder="1" applyAlignment="1">
      <alignment wrapText="1"/>
    </xf>
    <xf numFmtId="0" fontId="0" fillId="0" borderId="0" xfId="0" applyBorder="1"/>
    <xf numFmtId="0" fontId="8" fillId="0" borderId="16" xfId="0" applyFont="1" applyBorder="1"/>
    <xf numFmtId="0" fontId="10" fillId="0" borderId="10" xfId="0" applyFont="1" applyBorder="1"/>
    <xf numFmtId="9" fontId="10" fillId="0" borderId="0" xfId="1" applyFont="1" applyBorder="1"/>
    <xf numFmtId="0" fontId="10" fillId="0" borderId="16" xfId="0" applyFont="1" applyBorder="1"/>
    <xf numFmtId="9" fontId="10" fillId="0" borderId="9" xfId="1" applyFont="1" applyBorder="1"/>
    <xf numFmtId="2" fontId="10" fillId="0" borderId="0" xfId="0" applyNumberFormat="1" applyFont="1"/>
    <xf numFmtId="0" fontId="10" fillId="0" borderId="0" xfId="0" applyFont="1"/>
    <xf numFmtId="0" fontId="8" fillId="0" borderId="19" xfId="0" applyFont="1" applyBorder="1"/>
    <xf numFmtId="0" fontId="0" fillId="0" borderId="20" xfId="0" applyBorder="1"/>
    <xf numFmtId="0" fontId="0" fillId="0" borderId="21" xfId="0" applyBorder="1"/>
  </cellXfs>
  <cellStyles count="2">
    <cellStyle name="Normal" xfId="0" builtinId="0"/>
    <cellStyle name="Percent" xfId="1" builtinId="5"/>
  </cellStyles>
  <dxfs count="10">
    <dxf>
      <alignment horizontal="general" vertical="center" textRotation="0" wrapText="1"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center" textRotation="0" wrapText="0" indent="0" justifyLastLine="0" shrinkToFit="0" readingOrder="0"/>
      <border diagonalUp="0" diagonalDown="0">
        <left style="thin">
          <color rgb="FFF8F9FA"/>
        </left>
        <right style="thin">
          <color rgb="FFF8F9FA"/>
        </right>
        <top style="thin">
          <color rgb="FFF8F9FA"/>
        </top>
        <bottom style="thin">
          <color rgb="FFF8F9FA"/>
        </bottom>
        <vertical/>
        <horizontal/>
      </border>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center" textRotation="0" wrapText="0" indent="0" justifyLastLine="0" shrinkToFit="0" readingOrder="0"/>
      <border diagonalUp="0" diagonalDown="0">
        <left style="thin">
          <color rgb="FFF8F9FA"/>
        </left>
        <right style="thin">
          <color rgb="FFF8F9FA"/>
        </right>
        <top style="thin">
          <color rgb="FFF8F9FA"/>
        </top>
        <bottom style="thin">
          <color rgb="FFF8F9FA"/>
        </bottom>
        <vertical/>
        <horizontal/>
      </border>
    </dxf>
    <dxf>
      <numFmt numFmtId="30" formatCode="@"/>
    </dxf>
    <dxf>
      <font>
        <b val="0"/>
        <i val="0"/>
        <strike val="0"/>
        <condense val="0"/>
        <extend val="0"/>
        <outline val="0"/>
        <shadow val="0"/>
        <u val="none"/>
        <vertAlign val="baseline"/>
        <sz val="10"/>
        <color theme="1"/>
        <name val="Arial"/>
        <family val="2"/>
        <scheme val="minor"/>
      </font>
      <numFmt numFmtId="164" formatCode="[$-F400]h:mm:ss\ AM/PM"/>
      <alignment horizontal="general" vertical="center" textRotation="0" wrapText="0" indent="0" justifyLastLine="0" shrinkToFit="0" readingOrder="0"/>
      <border diagonalUp="0" diagonalDown="0" outline="0">
        <left style="thin">
          <color rgb="FFF8F9FA"/>
        </left>
        <right style="thin">
          <color rgb="FFF8F9FA"/>
        </right>
        <top style="thin">
          <color rgb="FFF8F9FA"/>
        </top>
        <bottom style="thin">
          <color rgb="FFF8F9FA"/>
        </bottom>
      </border>
    </dxf>
    <dxf>
      <numFmt numFmtId="30" formatCode="@"/>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3" xr9:uid="{00000000-0011-0000-FFFF-FFFF00000000}">
      <tableStyleElement type="headerRow" dxfId="9"/>
      <tableStyleElement type="firstRowStripe" dxfId="8"/>
      <tableStyleElement type="secondRowStripe" dxfId="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U14">
  <sortState xmlns:xlrd2="http://schemas.microsoft.com/office/spreadsheetml/2017/richdata2" ref="A2:U13">
    <sortCondition ref="A2:A13"/>
  </sortState>
  <tableColumns count="21">
    <tableColumn id="2" xr3:uid="{00000000-0010-0000-0000-000002000000}" name="Participant Key" dataDxfId="6"/>
    <tableColumn id="1" xr3:uid="{4FDD88DD-0F82-C146-9293-DB9A7EFBF05B}" name="Completion Time" dataDxfId="5"/>
    <tableColumn id="3" xr3:uid="{00000000-0010-0000-0000-000003000000}" name="What is the primary goal of the agent?"/>
    <tableColumn id="4" xr3:uid="{00000000-0010-0000-0000-000004000000}" name="Did the agent complete its task?"/>
    <tableColumn id="5" xr3:uid="{00000000-0010-0000-0000-000005000000}" name="What are the main action categories performed by the agent?"/>
    <tableColumn id="6" xr3:uid="{00000000-0010-0000-0000-000006000000}" name="What is the most frequently performed action?"/>
    <tableColumn id="7" xr3:uid="{00000000-0010-0000-0000-000007000000}" name="What is the key challenge or issue the agent encounters during the task?"/>
    <tableColumn id="8" xr3:uid="{00000000-0010-0000-0000-000008000000}" name="Does the agent exhibit any repetitive behavior? If so, describe one example."/>
    <tableColumn id="9" xr3:uid="{00000000-0010-0000-0000-000009000000}" name="What specific changes does the agent make to the cli.py file when it first modifies it?"/>
    <tableColumn id="10" xr3:uid="{00000000-0010-0000-0000-00000A000000}" name="Which specific files does the agent modify to implement the income report generation feature?"/>
    <tableColumn id="11" xr3:uid="{00000000-0010-0000-0000-00000B000000}" name="What feedback does the agent receive after its first attempt to run the test script for the finance tracker, and how does it influence the next action?"/>
    <tableColumn id="12" xr3:uid="{00000000-0010-0000-0000-00000C000000}" name="Which Python packages does the agent install over the course of the run?"/>
    <tableColumn id="13" xr3:uid="{00000000-0010-0000-0000-00000D000000}" name="What feedback does the agent receive from running the test script for the finance tracker after it has solved all import issues?"/>
    <tableColumn id="14" xr3:uid="{00000000-0010-0000-0000-00000E000000}" name="Which file is the agent primarily focused on modifying towards the end of the run?"/>
    <tableColumn id="15" xr3:uid="{00000000-0010-0000-0000-00000F000000}" name="Does the agent ever attempt to make the same change twice before reevaluating the tests? If so, describe one instance."/>
    <tableColumn id="16" xr3:uid="{00000000-0010-0000-0000-000010000000}" name="Analyze the final four changes the agent makes to the repository. How do these changes relate to each other?"/>
    <tableColumn id="17" xr3:uid="{00000000-0010-0000-0000-000011000000}" name="Mental Demand"/>
    <tableColumn id="18" xr3:uid="{00000000-0010-0000-0000-000012000000}" name="Temporal Demand"/>
    <tableColumn id="19" xr3:uid="{00000000-0010-0000-0000-000013000000}" name="Performance"/>
    <tableColumn id="20" xr3:uid="{00000000-0010-0000-0000-000014000000}" name="Effort"/>
    <tableColumn id="21" xr3:uid="{00000000-0010-0000-0000-000015000000}" name="Frustration"/>
  </tableColumns>
  <tableStyleInfo name="Form Responses 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99A7FFA-216B-FD42-B8C1-562013E53A1A}" name="Form_Responses8" displayName="Form_Responses8" ref="A1:H12">
  <sortState xmlns:xlrd2="http://schemas.microsoft.com/office/spreadsheetml/2017/richdata2" ref="A2:H12">
    <sortCondition ref="A2:A12"/>
  </sortState>
  <tableColumns count="8">
    <tableColumn id="2" xr3:uid="{529DD4FA-025E-5D4C-9C2D-C7730061EA20}" name="Participant Key" dataDxfId="4"/>
    <tableColumn id="1" xr3:uid="{E27F8776-25CE-0B4B-B700-FEB9C47CC638}" name="Completion Time" dataDxfId="3"/>
    <tableColumn id="3" xr3:uid="{F942C84F-32AD-6943-9017-6E9EAB5B0ADB}" name="Find and describe all potential bugs!" dataDxfId="2"/>
    <tableColumn id="4" xr3:uid="{5BA461A9-207B-7744-A390-5F9FFBF0C45F}" name="Mental Demand"/>
    <tableColumn id="5" xr3:uid="{FEF594EA-3607-3748-9EF4-18A3E6561D39}" name="Temporal Demand"/>
    <tableColumn id="6" xr3:uid="{0C5F6C26-54E9-2A4A-B096-300C11977BA5}" name="Performance"/>
    <tableColumn id="7" xr3:uid="{EFA6BE2E-37CE-6C46-87F9-C6F91E20C5C9}" name="Effort"/>
    <tableColumn id="8" xr3:uid="{F3B3971E-27BD-E049-9B74-91B7BA8DFD2E}" name="Frustration"/>
  </tableColumns>
  <tableStyleInfo name="Form Responses 1-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A1F8A71-E73B-844F-8CB3-3942286F2252}" name="Form_Responses6" displayName="Form_Responses6" ref="A1:H12">
  <sortState xmlns:xlrd2="http://schemas.microsoft.com/office/spreadsheetml/2017/richdata2" ref="A2:H12">
    <sortCondition ref="A2:A12"/>
  </sortState>
  <tableColumns count="8">
    <tableColumn id="2" xr3:uid="{F193E4F3-3C12-284B-BE45-3F54365C1AF8}" name="Participant Key"/>
    <tableColumn id="1" xr3:uid="{CDAB049A-A7C6-D540-820D-B08DF74E7D12}" name="Completion Time" dataDxfId="1"/>
    <tableColumn id="3" xr3:uid="{C978966F-18F9-7A48-B667-24D4AF5A2AD1}" name="Find and describe all potential bugs!" dataDxfId="0"/>
    <tableColumn id="4" xr3:uid="{59B82CC1-3B02-C041-8060-D722EE2316D6}" name="Mental Demand"/>
    <tableColumn id="5" xr3:uid="{21D4D1CE-EF0D-7C4B-967B-C6948C32824D}" name="Temporal Demand"/>
    <tableColumn id="6" xr3:uid="{054F3B52-9D80-C84B-B67B-295FE2FE09A7}" name="Performance"/>
    <tableColumn id="7" xr3:uid="{D7D709E7-D614-F847-8701-99171FE1B09F}" name="Effort"/>
    <tableColumn id="8" xr3:uid="{EF3477E0-7471-C844-AECC-AAF1FE663341}" name="Frustration"/>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http://cli.py/" TargetMode="External"/><Relationship Id="rId3" Type="http://schemas.openxmlformats.org/officeDocument/2006/relationships/hyperlink" Target="http://cli.py/" TargetMode="External"/><Relationship Id="rId7" Type="http://schemas.openxmlformats.org/officeDocument/2006/relationships/hyperlink" Target="http://cli.py/" TargetMode="External"/><Relationship Id="rId2" Type="http://schemas.openxmlformats.org/officeDocument/2006/relationships/hyperlink" Target="http://report.py/" TargetMode="External"/><Relationship Id="rId1" Type="http://schemas.openxmlformats.org/officeDocument/2006/relationships/hyperlink" Target="http://cli.py/" TargetMode="External"/><Relationship Id="rId6" Type="http://schemas.openxmlformats.org/officeDocument/2006/relationships/hyperlink" Target="http://cli.py/" TargetMode="External"/><Relationship Id="rId5" Type="http://schemas.openxmlformats.org/officeDocument/2006/relationships/hyperlink" Target="http://cli.py/" TargetMode="External"/><Relationship Id="rId4" Type="http://schemas.openxmlformats.org/officeDocument/2006/relationships/hyperlink" Target="http://cli.py/" TargetMode="External"/><Relationship Id="rId9"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C4B6A-3C2F-9249-A8D2-EAD44961822B}">
  <sheetPr>
    <pageSetUpPr fitToPage="1"/>
  </sheetPr>
  <dimension ref="A1:BD17"/>
  <sheetViews>
    <sheetView tabSelected="1" zoomScale="137" workbookViewId="0">
      <selection activeCell="P12" sqref="P12"/>
    </sheetView>
  </sheetViews>
  <sheetFormatPr baseColWidth="10" defaultRowHeight="13" x14ac:dyDescent="0.15"/>
  <cols>
    <col min="1" max="1" width="12.83203125" bestFit="1" customWidth="1"/>
    <col min="2" max="2" width="8" bestFit="1" customWidth="1"/>
    <col min="19" max="19" width="17.33203125" bestFit="1" customWidth="1"/>
    <col min="20" max="20" width="15.33203125" bestFit="1" customWidth="1"/>
  </cols>
  <sheetData>
    <row r="1" spans="1:56" x14ac:dyDescent="0.15">
      <c r="A1" s="15" t="s">
        <v>0</v>
      </c>
      <c r="B1" s="15" t="s">
        <v>179</v>
      </c>
      <c r="C1" s="15" t="s">
        <v>229</v>
      </c>
      <c r="D1" s="15" t="s">
        <v>230</v>
      </c>
      <c r="E1" s="15" t="s">
        <v>231</v>
      </c>
      <c r="F1" s="15" t="s">
        <v>232</v>
      </c>
      <c r="G1" s="15" t="s">
        <v>233</v>
      </c>
      <c r="H1" s="15" t="s">
        <v>234</v>
      </c>
      <c r="I1" s="15" t="s">
        <v>235</v>
      </c>
      <c r="J1" s="15" t="s">
        <v>236</v>
      </c>
      <c r="K1" s="15" t="s">
        <v>237</v>
      </c>
      <c r="L1" s="15" t="s">
        <v>238</v>
      </c>
      <c r="M1" s="15" t="s">
        <v>239</v>
      </c>
      <c r="N1" s="15" t="s">
        <v>240</v>
      </c>
      <c r="O1" s="15" t="s">
        <v>241</v>
      </c>
      <c r="P1" s="15" t="s">
        <v>242</v>
      </c>
      <c r="Q1" s="15" t="s">
        <v>223</v>
      </c>
      <c r="R1" s="15" t="s">
        <v>224</v>
      </c>
      <c r="S1" s="15" t="s">
        <v>264</v>
      </c>
      <c r="T1" s="15" t="s">
        <v>226</v>
      </c>
      <c r="U1" s="15" t="s">
        <v>225</v>
      </c>
      <c r="V1" s="15" t="s">
        <v>227</v>
      </c>
      <c r="W1" s="15" t="s">
        <v>207</v>
      </c>
      <c r="X1" s="15" t="s">
        <v>208</v>
      </c>
      <c r="Y1" s="15" t="s">
        <v>209</v>
      </c>
      <c r="Z1" s="15" t="s">
        <v>210</v>
      </c>
      <c r="AA1" s="15" t="s">
        <v>211</v>
      </c>
      <c r="AB1" s="15" t="s">
        <v>212</v>
      </c>
      <c r="AC1" s="15" t="s">
        <v>213</v>
      </c>
      <c r="AD1" s="15" t="s">
        <v>214</v>
      </c>
      <c r="AE1" s="15" t="s">
        <v>215</v>
      </c>
      <c r="AF1" s="15" t="s">
        <v>216</v>
      </c>
      <c r="AG1" s="15" t="s">
        <v>217</v>
      </c>
      <c r="AH1" s="15" t="s">
        <v>218</v>
      </c>
      <c r="AI1" s="15" t="s">
        <v>219</v>
      </c>
      <c r="AJ1" s="15" t="s">
        <v>220</v>
      </c>
      <c r="AK1" s="15" t="s">
        <v>243</v>
      </c>
      <c r="AL1" s="15" t="s">
        <v>244</v>
      </c>
      <c r="AM1" t="s">
        <v>245</v>
      </c>
      <c r="AN1" t="s">
        <v>246</v>
      </c>
      <c r="AO1" t="s">
        <v>247</v>
      </c>
      <c r="AP1" t="s">
        <v>248</v>
      </c>
      <c r="AQ1" t="s">
        <v>249</v>
      </c>
      <c r="AR1" t="s">
        <v>250</v>
      </c>
      <c r="AS1" t="s">
        <v>251</v>
      </c>
      <c r="AT1" t="s">
        <v>252</v>
      </c>
      <c r="AU1" t="s">
        <v>253</v>
      </c>
      <c r="AV1" t="s">
        <v>254</v>
      </c>
      <c r="AW1" t="s">
        <v>255</v>
      </c>
      <c r="AX1" t="s">
        <v>256</v>
      </c>
      <c r="AY1" t="s">
        <v>257</v>
      </c>
      <c r="AZ1" t="s">
        <v>258</v>
      </c>
      <c r="BA1" t="s">
        <v>259</v>
      </c>
      <c r="BB1" t="s">
        <v>260</v>
      </c>
      <c r="BC1" t="s">
        <v>262</v>
      </c>
      <c r="BD1" t="s">
        <v>261</v>
      </c>
    </row>
    <row r="2" spans="1:56" x14ac:dyDescent="0.15">
      <c r="A2" s="38" t="str">
        <f>'Task 1'!A48</f>
        <v>fe6c</v>
      </c>
      <c r="B2" t="str">
        <f>VLOOKUP(A2,'Task 1'!A$48:B$59,2,FALSE)</f>
        <v>B</v>
      </c>
      <c r="C2">
        <f>VLOOKUP($A2,'Task 1'!$A$16:$P$27,'Task 1'!C$14,FALSE)</f>
        <v>3</v>
      </c>
      <c r="D2">
        <f>VLOOKUP($A2,'Task 1'!$A$16:$P$27,'Task 1'!D$14,FALSE)</f>
        <v>1</v>
      </c>
      <c r="E2">
        <f>VLOOKUP($A2,'Task 1'!$A$16:$P$27,'Task 1'!E$14,FALSE)</f>
        <v>1</v>
      </c>
      <c r="F2">
        <f>VLOOKUP($A2,'Task 1'!$A$16:$P$27,'Task 1'!F$14,FALSE)</f>
        <v>1</v>
      </c>
      <c r="G2">
        <f>VLOOKUP($A2,'Task 1'!$A$16:$P$27,'Task 1'!G$14,FALSE)</f>
        <v>0</v>
      </c>
      <c r="H2">
        <f>VLOOKUP($A2,'Task 1'!$A$16:$P$27,'Task 1'!H$14,FALSE)</f>
        <v>1</v>
      </c>
      <c r="I2">
        <f>VLOOKUP($A2,'Task 1'!$A$16:$P$27,'Task 1'!I$14,FALSE)</f>
        <v>1</v>
      </c>
      <c r="J2">
        <f>VLOOKUP($A2,'Task 1'!$A$16:$P$27,'Task 1'!J$14,FALSE)</f>
        <v>1</v>
      </c>
      <c r="K2">
        <f>VLOOKUP($A2,'Task 1'!$A$16:$P$27,'Task 1'!K$14,FALSE)</f>
        <v>2</v>
      </c>
      <c r="L2">
        <f>VLOOKUP($A2,'Task 1'!$A$16:$P$27,'Task 1'!L$14,FALSE)</f>
        <v>0</v>
      </c>
      <c r="M2">
        <f>VLOOKUP($A2,'Task 1'!$A$16:$P$27,'Task 1'!M$14,FALSE)</f>
        <v>1</v>
      </c>
      <c r="N2">
        <f>VLOOKUP($A2,'Task 1'!$A$16:$P$27,'Task 1'!N$14,FALSE)</f>
        <v>1</v>
      </c>
      <c r="O2">
        <f>VLOOKUP($A2,'Task 1'!$A$16:$P$27,'Task 1'!O$14,FALSE)</f>
        <v>0</v>
      </c>
      <c r="P2">
        <f>VLOOKUP($A2,'Task 1'!$A$16:$P$27,'Task 1'!P$14,FALSE)</f>
        <v>0</v>
      </c>
      <c r="Q2">
        <f>VLOOKUP($A2,'Task 2'!$A$2:$J$12,10,FALSE)</f>
        <v>0</v>
      </c>
      <c r="R2">
        <f>VLOOKUP($A2,'Task 3'!$A$2:$J$12,10,FALSE)</f>
        <v>0</v>
      </c>
      <c r="S2">
        <f>VLOOKUP($A2,'Task 1'!$A$16:$V$27,17,FALSE)</f>
        <v>13</v>
      </c>
      <c r="T2">
        <f>VLOOKUP($A2,'Task 1'!$A$16:$V$27,18,FALSE)</f>
        <v>51</v>
      </c>
      <c r="U2" s="28">
        <f>VLOOKUP($A2,'Task 1'!$A$16:$V$27,19,FALSE)</f>
        <v>0.6071428571428571</v>
      </c>
      <c r="V2" s="63">
        <f>VLOOKUP($A2,'Task 1'!$A$16:$W$27,23,FALSE)</f>
        <v>0.58333333333333337</v>
      </c>
      <c r="W2" t="str">
        <f>IF(VLOOKUP($A2,'Task 1'!$A$2:$P$13,'Task 1'!C$14,FALSE)="","",VLOOKUP($A2,'Task 1'!$A$2:$P$13,'Task 1'!C$14,FALSE))</f>
        <v>The goal is to enhance the `finance_tracker` project by adding income tracking functionality to complement the existing expense, budget, user, and reporting features.</v>
      </c>
      <c r="X2" t="str">
        <f>IF(VLOOKUP($A2,'Task 1'!$A$2:$P$13,'Task 1'!D$14,FALSE)="","",VLOOKUP($A2,'Task 1'!$A$2:$P$13,'Task 1'!D$14,FALSE))</f>
        <v>No, the task was not completed.</v>
      </c>
      <c r="Y2" t="str">
        <f>IF(VLOOKUP($A2,'Task 1'!$A$2:$P$13,'Task 1'!E$14,FALSE)="","",VLOOKUP($A2,'Task 1'!$A$2:$P$13,'Task 1'!E$14,FALSE))</f>
        <v xml:space="preserve">Gather relevant information',  'summarize requirements', 'code implementation and show the diff', 'run tests and solve runtime errors' </v>
      </c>
      <c r="Z2" t="str">
        <f>IF(VLOOKUP($A2,'Task 1'!$A$2:$P$13,'Task 1'!F$14,FALSE)="","",VLOOKUP($A2,'Task 1'!$A$2:$P$13,'Task 1'!F$14,FALSE))</f>
        <v>run tests and modify the code to solve errors.</v>
      </c>
      <c r="AA2" t="str">
        <f>IF(VLOOKUP($A2,'Task 1'!$A$2:$P$13,'Task 1'!G$14,FALSE)="","",VLOOKUP($A2,'Task 1'!$A$2:$P$13,'Task 1'!G$14,FALSE))</f>
        <v/>
      </c>
      <c r="AB2" t="str">
        <f>IF(VLOOKUP($A2,'Task 1'!$A$2:$P$13,'Task 1'!H$14,FALSE)="","",VLOOKUP($A2,'Task 1'!$A$2:$P$13,'Task 1'!H$14,FALSE))</f>
        <v>Yes, maybe the step where it try to solve the same runtime errors again and again.</v>
      </c>
      <c r="AC2" t="str">
        <f>IF(VLOOKUP($A2,'Task 1'!$A$2:$P$13,'Task 1'!I$14,FALSE)="","",VLOOKUP($A2,'Task 1'!$A$2:$P$13,'Task 1'!I$14,FALSE))</f>
        <v>--old_str 'from finance_tracker.reports import FinancialReport' --new_str 'from finance_tracker.reports import FinancialReport
from finance_tracker.income import IncomeTracker'</v>
      </c>
      <c r="AD2" t="str">
        <f>IF(VLOOKUP($A2,'Task 1'!$A$2:$P$13,'Task 1'!J$14,FALSE)="","",VLOOKUP($A2,'Task 1'!$A$2:$P$13,'Task 1'!J$14,FALSE))</f>
        <v>finance_tracker/cli.py, finance_tracker/reports.py</v>
      </c>
      <c r="AE2" t="str">
        <f>IF(VLOOKUP($A2,'Task 1'!$A$2:$P$13,'Task 1'!K$14,FALSE)="","",VLOOKUP($A2,'Task 1'!$A$2:$P$13,'Task 1'!K$14,FALSE))</f>
        <v>ModuleNotFoundError: No module named 'pandas'. The agent installs the package, and allows  the execution go with no reference errors.</v>
      </c>
      <c r="AF2" t="str">
        <f>IF(VLOOKUP($A2,'Task 1'!$A$2:$P$13,'Task 1'!L$14,FALSE)="","",VLOOKUP($A2,'Task 1'!$A$2:$P$13,'Task 1'!L$14,FALSE))</f>
        <v>pandas</v>
      </c>
      <c r="AG2" t="str">
        <f>IF(VLOOKUP($A2,'Task 1'!$A$2:$P$13,'Task 1'!M$14,FALSE)="","",VLOOKUP($A2,'Task 1'!$A$2:$P$13,'Task 1'!M$14,FALSE))</f>
        <v>Traceback (most recent call last):   File "/finance_tracker/finance_tracker/tests/test_income.py", line 7, in &lt;module&gt;     from finance_tracker.cli import FinanceTrackerCLI   File "/finance_tracker/finance_tracker/cli.py", line 41     def do_generate_income_report(self, arg):     ^ IndentationError: expected an indented block after function definition on line 40</v>
      </c>
      <c r="AH2" t="str">
        <f>IF(VLOOKUP($A2,'Task 1'!$A$2:$P$13,'Task 1'!N$14,FALSE)="","",VLOOKUP($A2,'Task 1'!$A$2:$P$13,'Task 1'!N$14,FALSE))</f>
        <v>cli.py</v>
      </c>
      <c r="AI2" t="str">
        <f>IF(VLOOKUP($A2,'Task 1'!$A$2:$P$13,'Task 1'!O$14,FALSE)="","",VLOOKUP($A2,'Task 1'!$A$2:$P$13,'Task 1'!O$14,FALSE))</f>
        <v/>
      </c>
      <c r="AJ2" t="str">
        <f>IF(VLOOKUP($A2,'Task 1'!$A$2:$P$13,'Task 1'!P$14,FALSE)="","",VLOOKUP($A2,'Task 1'!$A$2:$P$13,'Task 1'!P$14,FALSE))</f>
        <v/>
      </c>
      <c r="AK2" t="str">
        <f>IF(VLOOKUP($A2,Form_Responses8[[Participant Key]:[Find and describe all potential bugs!]],3,FALSE)="","",VLOOKUP($A2,Form_Responses8[[Participant Key]:[Find and describe all potential bugs!]],3,FALSE))</f>
        <v xml:space="preserve">Agent's logic: failed to change to another method to fix the issue. Implementation: the line break conditional statements seems was incorrect at some point. </v>
      </c>
      <c r="AL2" t="str">
        <f>IF(VLOOKUP($A2,Form_Responses6[[Participant Key]:[Find and describe all potential bugs!]],3,FALSE)="","",VLOOKUP($A2,Form_Responses6[[Participant Key]:[Find and describe all potential bugs!]],3,FALSE))</f>
        <v>Agent's decision making: the failed command outputs mention that more commands could be run in a docker container, but the agent fails to adjust the next steps to adapt it. Logic: allows the failed steps repeat multiple times.</v>
      </c>
      <c r="AM2" cm="1">
        <f t="array" ref="AM2">INDEX('Task 1'!$B$30:$B$43,COLUMN(A1))</f>
        <v>3</v>
      </c>
      <c r="AN2" cm="1">
        <f t="array" ref="AN2">INDEX('Task 1'!$B$30:$B$43,COLUMN(B1))</f>
        <v>1</v>
      </c>
      <c r="AO2" cm="1">
        <f t="array" ref="AO2">INDEX('Task 1'!$B$30:$B$43,COLUMN(C1))</f>
        <v>2</v>
      </c>
      <c r="AP2" cm="1">
        <f t="array" ref="AP2">INDEX('Task 1'!$B$30:$B$43,COLUMN(D1))</f>
        <v>1</v>
      </c>
      <c r="AQ2" cm="1">
        <f t="array" ref="AQ2">INDEX('Task 1'!$B$30:$B$43,COLUMN(E1))</f>
        <v>1</v>
      </c>
      <c r="AR2" cm="1">
        <f t="array" ref="AR2">INDEX('Task 1'!$B$30:$B$43,COLUMN(F1))</f>
        <v>2</v>
      </c>
      <c r="AS2" cm="1">
        <f t="array" ref="AS2">INDEX('Task 1'!$B$30:$B$43,COLUMN(G1))</f>
        <v>1</v>
      </c>
      <c r="AT2" cm="1">
        <f t="array" ref="AT2">INDEX('Task 1'!$B$30:$B$43,COLUMN(H1))</f>
        <v>2</v>
      </c>
      <c r="AU2" cm="1">
        <f t="array" ref="AU2">INDEX('Task 1'!$B$30:$B$43,COLUMN(I1))</f>
        <v>2</v>
      </c>
      <c r="AV2" cm="1">
        <f t="array" ref="AV2">INDEX('Task 1'!$B$30:$B$43,COLUMN(J1))</f>
        <v>1</v>
      </c>
      <c r="AW2" cm="1">
        <f t="array" ref="AW2">INDEX('Task 1'!$B$30:$B$43,COLUMN(K1))</f>
        <v>1</v>
      </c>
      <c r="AX2" cm="1">
        <f t="array" ref="AX2">INDEX('Task 1'!$B$30:$B$43,COLUMN(L1))</f>
        <v>1</v>
      </c>
      <c r="AY2" cm="1">
        <f t="array" ref="AY2">INDEX('Task 1'!$B$30:$B$43,COLUMN(M1))</f>
        <v>1</v>
      </c>
      <c r="AZ2" cm="1">
        <f t="array" ref="AZ2">INDEX('Task 1'!$B$30:$B$43,COLUMN(N1))</f>
        <v>2</v>
      </c>
      <c r="BA2">
        <v>1</v>
      </c>
      <c r="BB2">
        <v>1</v>
      </c>
      <c r="BC2">
        <f>'Task 1'!$B$45</f>
        <v>21</v>
      </c>
      <c r="BD2">
        <f>'Task 1'!$D$45</f>
        <v>84</v>
      </c>
    </row>
    <row r="3" spans="1:56" x14ac:dyDescent="0.15">
      <c r="A3" s="38" t="str">
        <f>'Task 1'!A49</f>
        <v>67c3</v>
      </c>
      <c r="B3" t="str">
        <f>VLOOKUP(A3,'Task 1'!A$48:B$59,2,FALSE)</f>
        <v>B</v>
      </c>
      <c r="C3">
        <f>VLOOKUP($A3,'Task 1'!$A$16:$P$27,'Task 1'!C$14,FALSE)</f>
        <v>0</v>
      </c>
      <c r="D3">
        <f>VLOOKUP($A3,'Task 1'!$A$16:$P$27,'Task 1'!D$14,FALSE)</f>
        <v>1</v>
      </c>
      <c r="E3">
        <f>VLOOKUP($A3,'Task 1'!$A$16:$P$27,'Task 1'!E$14,FALSE)</f>
        <v>0</v>
      </c>
      <c r="F3">
        <f>VLOOKUP($A3,'Task 1'!$A$16:$P$27,'Task 1'!F$14,FALSE)</f>
        <v>0</v>
      </c>
      <c r="G3">
        <f>VLOOKUP($A3,'Task 1'!$A$16:$P$27,'Task 1'!G$14,FALSE)</f>
        <v>0</v>
      </c>
      <c r="H3">
        <f>VLOOKUP($A3,'Task 1'!$A$16:$P$27,'Task 1'!H$14,FALSE)</f>
        <v>0</v>
      </c>
      <c r="I3">
        <f>VLOOKUP($A3,'Task 1'!$A$16:$P$27,'Task 1'!I$14,FALSE)</f>
        <v>0</v>
      </c>
      <c r="J3">
        <f>VLOOKUP($A3,'Task 1'!$A$16:$P$27,'Task 1'!J$14,FALSE)</f>
        <v>0</v>
      </c>
      <c r="K3">
        <f>VLOOKUP($A3,'Task 1'!$A$16:$P$27,'Task 1'!K$14,FALSE)</f>
        <v>0</v>
      </c>
      <c r="L3">
        <f>VLOOKUP($A3,'Task 1'!$A$16:$P$27,'Task 1'!L$14,FALSE)</f>
        <v>0</v>
      </c>
      <c r="M3">
        <f>VLOOKUP($A3,'Task 1'!$A$16:$P$27,'Task 1'!M$14,FALSE)</f>
        <v>0</v>
      </c>
      <c r="N3">
        <f>VLOOKUP($A3,'Task 1'!$A$16:$P$27,'Task 1'!N$14,FALSE)</f>
        <v>1</v>
      </c>
      <c r="O3">
        <f>VLOOKUP($A3,'Task 1'!$A$16:$P$27,'Task 1'!O$14,FALSE)</f>
        <v>0</v>
      </c>
      <c r="P3">
        <f>VLOOKUP($A3,'Task 1'!$A$16:$P$27,'Task 1'!P$14,FALSE)</f>
        <v>0</v>
      </c>
      <c r="Q3">
        <f>VLOOKUP($A3,'Task 2'!$A$2:$J$12,10,FALSE)</f>
        <v>0</v>
      </c>
      <c r="R3">
        <f>VLOOKUP($A3,'Task 3'!$A$2:$J$12,10,FALSE)</f>
        <v>0</v>
      </c>
      <c r="S3">
        <f>VLOOKUP($A3,'Task 1'!$A$16:$V$27,17,FALSE)</f>
        <v>2</v>
      </c>
      <c r="T3">
        <f>VLOOKUP($A3,'Task 1'!$A$16:$V$27,18,FALSE)</f>
        <v>12</v>
      </c>
      <c r="U3" s="28">
        <f>VLOOKUP($A3,'Task 1'!$A$16:$V$27,19,FALSE)</f>
        <v>0.14285714285714285</v>
      </c>
      <c r="V3" s="63">
        <f>VLOOKUP($A3,'Task 1'!$A$16:$W$27,23,FALSE)</f>
        <v>0.91666666666666663</v>
      </c>
      <c r="W3" t="str">
        <f>IF(VLOOKUP($A3,'Task 1'!$A$2:$P$13,'Task 1'!C$14,FALSE)="","",VLOOKUP($A3,'Task 1'!$A$2:$P$13,'Task 1'!C$14,FALSE))</f>
        <v/>
      </c>
      <c r="X3" t="str">
        <f>IF(VLOOKUP($A3,'Task 1'!$A$2:$P$13,'Task 1'!D$14,FALSE)="","",VLOOKUP($A3,'Task 1'!$A$2:$P$13,'Task 1'!D$14,FALSE))</f>
        <v>No, the task was not completed.</v>
      </c>
      <c r="Y3" t="str">
        <f>IF(VLOOKUP($A3,'Task 1'!$A$2:$P$13,'Task 1'!E$14,FALSE)="","",VLOOKUP($A3,'Task 1'!$A$2:$P$13,'Task 1'!E$14,FALSE))</f>
        <v>Execute solutions and take over corrections</v>
      </c>
      <c r="Z3" t="str">
        <f>IF(VLOOKUP($A3,'Task 1'!$A$2:$P$13,'Task 1'!F$14,FALSE)="","",VLOOKUP($A3,'Task 1'!$A$2:$P$13,'Task 1'!F$14,FALSE))</f>
        <v>Ask and add error fixes</v>
      </c>
      <c r="AA3" t="str">
        <f>IF(VLOOKUP($A3,'Task 1'!$A$2:$P$13,'Task 1'!G$14,FALSE)="","",VLOOKUP($A3,'Task 1'!$A$2:$P$13,'Task 1'!G$14,FALSE))</f>
        <v>Missing libraries, non-working feature</v>
      </c>
      <c r="AB3" t="str">
        <f>IF(VLOOKUP($A3,'Task 1'!$A$2:$P$13,'Task 1'!H$14,FALSE)="","",VLOOKUP($A3,'Task 1'!$A$2:$P$13,'Task 1'!H$14,FALSE))</f>
        <v/>
      </c>
      <c r="AC3" t="str">
        <f>IF(VLOOKUP($A3,'Task 1'!$A$2:$P$13,'Task 1'!I$14,FALSE)="","",VLOOKUP($A3,'Task 1'!$A$2:$P$13,'Task 1'!I$14,FALSE))</f>
        <v/>
      </c>
      <c r="AD3" t="str">
        <f>IF(VLOOKUP($A3,'Task 1'!$A$2:$P$13,'Task 1'!J$14,FALSE)="","",VLOOKUP($A3,'Task 1'!$A$2:$P$13,'Task 1'!J$14,FALSE))</f>
        <v/>
      </c>
      <c r="AE3" t="str">
        <f>IF(VLOOKUP($A3,'Task 1'!$A$2:$P$13,'Task 1'!K$14,FALSE)="","",VLOOKUP($A3,'Task 1'!$A$2:$P$13,'Task 1'!K$14,FALSE))</f>
        <v/>
      </c>
      <c r="AF3" t="str">
        <f>IF(VLOOKUP($A3,'Task 1'!$A$2:$P$13,'Task 1'!L$14,FALSE)="","",VLOOKUP($A3,'Task 1'!$A$2:$P$13,'Task 1'!L$14,FALSE))</f>
        <v/>
      </c>
      <c r="AG3" t="str">
        <f>IF(VLOOKUP($A3,'Task 1'!$A$2:$P$13,'Task 1'!M$14,FALSE)="","",VLOOKUP($A3,'Task 1'!$A$2:$P$13,'Task 1'!M$14,FALSE))</f>
        <v/>
      </c>
      <c r="AH3" t="str">
        <f>IF(VLOOKUP($A3,'Task 1'!$A$2:$P$13,'Task 1'!N$14,FALSE)="","",VLOOKUP($A3,'Task 1'!$A$2:$P$13,'Task 1'!N$14,FALSE))</f>
        <v>financetracher/cli.py</v>
      </c>
      <c r="AI3" t="str">
        <f>IF(VLOOKUP($A3,'Task 1'!$A$2:$P$13,'Task 1'!O$14,FALSE)="","",VLOOKUP($A3,'Task 1'!$A$2:$P$13,'Task 1'!O$14,FALSE))</f>
        <v>I think so</v>
      </c>
      <c r="AJ3" t="str">
        <f>IF(VLOOKUP($A3,'Task 1'!$A$2:$P$13,'Task 1'!P$14,FALSE)="","",VLOOKUP($A3,'Task 1'!$A$2:$P$13,'Task 1'!P$14,FALSE))</f>
        <v/>
      </c>
      <c r="AK3" t="str">
        <f>IF(VLOOKUP($A3,Form_Responses8[[Participant Key]:[Find and describe all potential bugs!]],3,FALSE)="","",VLOOKUP($A3,Form_Responses8[[Participant Key]:[Find and describe all potential bugs!]],3,FALSE))</f>
        <v/>
      </c>
      <c r="AL3" t="str">
        <f>IF(VLOOKUP($A3,Form_Responses6[[Participant Key]:[Find and describe all potential bugs!]],3,FALSE)="","",VLOOKUP($A3,Form_Responses6[[Participant Key]:[Find and describe all potential bugs!]],3,FALSE))</f>
        <v>No access to the environment and therefore can’t install or update anything, missing tools that are supposed to be used</v>
      </c>
      <c r="AM3" cm="1">
        <f t="array" ref="AM3">INDEX('Task 1'!$B$30:$B$43,COLUMN(A2))</f>
        <v>3</v>
      </c>
      <c r="AN3" cm="1">
        <f t="array" ref="AN3">INDEX('Task 1'!$B$30:$B$43,COLUMN(B2))</f>
        <v>1</v>
      </c>
      <c r="AO3" cm="1">
        <f t="array" ref="AO3">INDEX('Task 1'!$B$30:$B$43,COLUMN(C2))</f>
        <v>2</v>
      </c>
      <c r="AP3" cm="1">
        <f t="array" ref="AP3">INDEX('Task 1'!$B$30:$B$43,COLUMN(D2))</f>
        <v>1</v>
      </c>
      <c r="AQ3" cm="1">
        <f t="array" ref="AQ3">INDEX('Task 1'!$B$30:$B$43,COLUMN(E2))</f>
        <v>1</v>
      </c>
      <c r="AR3" cm="1">
        <f t="array" ref="AR3">INDEX('Task 1'!$B$30:$B$43,COLUMN(F2))</f>
        <v>2</v>
      </c>
      <c r="AS3" cm="1">
        <f t="array" ref="AS3">INDEX('Task 1'!$B$30:$B$43,COLUMN(G2))</f>
        <v>1</v>
      </c>
      <c r="AT3" cm="1">
        <f t="array" ref="AT3">INDEX('Task 1'!$B$30:$B$43,COLUMN(H2))</f>
        <v>2</v>
      </c>
      <c r="AU3" cm="1">
        <f t="array" ref="AU3">INDEX('Task 1'!$B$30:$B$43,COLUMN(I2))</f>
        <v>2</v>
      </c>
      <c r="AV3" cm="1">
        <f t="array" ref="AV3">INDEX('Task 1'!$B$30:$B$43,COLUMN(J2))</f>
        <v>1</v>
      </c>
      <c r="AW3" cm="1">
        <f t="array" ref="AW3">INDEX('Task 1'!$B$30:$B$43,COLUMN(K2))</f>
        <v>1</v>
      </c>
      <c r="AX3" cm="1">
        <f t="array" ref="AX3">INDEX('Task 1'!$B$30:$B$43,COLUMN(L2))</f>
        <v>1</v>
      </c>
      <c r="AY3" cm="1">
        <f t="array" ref="AY3">INDEX('Task 1'!$B$30:$B$43,COLUMN(M2))</f>
        <v>1</v>
      </c>
      <c r="AZ3" cm="1">
        <f t="array" ref="AZ3">INDEX('Task 1'!$B$30:$B$43,COLUMN(N2))</f>
        <v>2</v>
      </c>
      <c r="BA3">
        <v>1</v>
      </c>
      <c r="BB3">
        <v>1</v>
      </c>
      <c r="BC3">
        <f>'Task 1'!$B$45</f>
        <v>21</v>
      </c>
      <c r="BD3">
        <f>'Task 1'!$D$45</f>
        <v>84</v>
      </c>
    </row>
    <row r="4" spans="1:56" x14ac:dyDescent="0.15">
      <c r="A4" s="38" t="str">
        <f>'Task 1'!A50</f>
        <v>0078</v>
      </c>
      <c r="B4" t="str">
        <f>VLOOKUP(A4,'Task 1'!A$48:B$59,2,FALSE)</f>
        <v>A</v>
      </c>
      <c r="C4">
        <f>VLOOKUP($A4,'Task 1'!$A$16:$P$27,'Task 1'!C$14,FALSE)</f>
        <v>2</v>
      </c>
      <c r="D4">
        <f>VLOOKUP($A4,'Task 1'!$A$16:$P$27,'Task 1'!D$14,FALSE)</f>
        <v>0</v>
      </c>
      <c r="E4">
        <f>VLOOKUP($A4,'Task 1'!$A$16:$P$27,'Task 1'!E$14,FALSE)</f>
        <v>0</v>
      </c>
      <c r="F4">
        <f>VLOOKUP($A4,'Task 1'!$A$16:$P$27,'Task 1'!F$14,FALSE)</f>
        <v>1</v>
      </c>
      <c r="G4">
        <f>VLOOKUP($A4,'Task 1'!$A$16:$P$27,'Task 1'!G$14,FALSE)</f>
        <v>1</v>
      </c>
      <c r="H4">
        <f>VLOOKUP($A4,'Task 1'!$A$16:$P$27,'Task 1'!H$14,FALSE)</f>
        <v>1</v>
      </c>
      <c r="I4">
        <f>VLOOKUP($A4,'Task 1'!$A$16:$P$27,'Task 1'!I$14,FALSE)</f>
        <v>1</v>
      </c>
      <c r="J4">
        <f>VLOOKUP($A4,'Task 1'!$A$16:$P$27,'Task 1'!J$14,FALSE)</f>
        <v>2</v>
      </c>
      <c r="K4">
        <f>VLOOKUP($A4,'Task 1'!$A$16:$P$27,'Task 1'!K$14,FALSE)</f>
        <v>2</v>
      </c>
      <c r="L4">
        <f>VLOOKUP($A4,'Task 1'!$A$16:$P$27,'Task 1'!L$14,FALSE)</f>
        <v>1</v>
      </c>
      <c r="M4">
        <f>VLOOKUP($A4,'Task 1'!$A$16:$P$27,'Task 1'!M$14,FALSE)</f>
        <v>1</v>
      </c>
      <c r="N4">
        <f>VLOOKUP($A4,'Task 1'!$A$16:$P$27,'Task 1'!N$14,FALSE)</f>
        <v>1</v>
      </c>
      <c r="O4">
        <f>VLOOKUP($A4,'Task 1'!$A$16:$P$27,'Task 1'!O$14,FALSE)</f>
        <v>0</v>
      </c>
      <c r="P4">
        <f>VLOOKUP($A4,'Task 1'!$A$16:$P$27,'Task 1'!P$14,FALSE)</f>
        <v>0</v>
      </c>
      <c r="Q4">
        <f>VLOOKUP($A4,'Task 2'!$A$2:$J$12,10,FALSE)</f>
        <v>0</v>
      </c>
      <c r="R4">
        <f>VLOOKUP($A4,'Task 3'!$A$2:$J$12,10,FALSE)</f>
        <v>1</v>
      </c>
      <c r="S4">
        <f>VLOOKUP($A4,'Task 1'!$A$16:$V$27,17,FALSE)</f>
        <v>13</v>
      </c>
      <c r="T4">
        <f>VLOOKUP($A4,'Task 1'!$A$16:$V$27,18,FALSE)</f>
        <v>55</v>
      </c>
      <c r="U4" s="28">
        <f>VLOOKUP($A4,'Task 1'!$A$16:$V$27,19,FALSE)</f>
        <v>0.65476190476190477</v>
      </c>
      <c r="V4" s="63">
        <f>VLOOKUP($A4,'Task 1'!$A$16:$W$27,23,FALSE)</f>
        <v>0.5</v>
      </c>
      <c r="W4" t="str">
        <f>IF(VLOOKUP($A4,'Task 1'!$A$2:$P$13,'Task 1'!C$14,FALSE)="","",VLOOKUP($A4,'Task 1'!$A$2:$P$13,'Task 1'!C$14,FALSE))</f>
        <v>The agents goal is to implement an income tracking feature to a python project with cli functionality and integrating it into the rest of the program.</v>
      </c>
      <c r="X4" t="str">
        <f>IF(VLOOKUP($A4,'Task 1'!$A$2:$P$13,'Task 1'!D$14,FALSE)="","",VLOOKUP($A4,'Task 1'!$A$2:$P$13,'Task 1'!D$14,FALSE))</f>
        <v>Yes, the task was completed successfully.</v>
      </c>
      <c r="Y4" t="str">
        <f>IF(VLOOKUP($A4,'Task 1'!$A$2:$P$13,'Task 1'!E$14,FALSE)="","",VLOOKUP($A4,'Task 1'!$A$2:$P$13,'Task 1'!E$14,FALSE))</f>
        <v>Adding functionality of income tracking and integrating it into the CLI</v>
      </c>
      <c r="Z4" t="str">
        <f>IF(VLOOKUP($A4,'Task 1'!$A$2:$P$13,'Task 1'!F$14,FALSE)="","",VLOOKUP($A4,'Task 1'!$A$2:$P$13,'Task 1'!F$14,FALSE))</f>
        <v>adding the income report generation to the cli</v>
      </c>
      <c r="AA4" t="str">
        <f>IF(VLOOKUP($A4,'Task 1'!$A$2:$P$13,'Task 1'!G$14,FALSE)="","",VLOOKUP($A4,'Task 1'!$A$2:$P$13,'Task 1'!G$14,FALSE))</f>
        <v>The agent seems to have troubles with python syntax, i.e., the indentation (IndentationError)</v>
      </c>
      <c r="AB4" t="str">
        <f>IF(VLOOKUP($A4,'Task 1'!$A$2:$P$13,'Task 1'!H$14,FALSE)="","",VLOOKUP($A4,'Task 1'!$A$2:$P$13,'Task 1'!H$14,FALSE))</f>
        <v>Yes, it does. It requests multiple times to “Create the 'IncomeTracker' class ... to satisfy the PR description", the commit titles also indicate this with multiple "Add income report generation to CLI"</v>
      </c>
      <c r="AC4" t="str">
        <f>IF(VLOOKUP($A4,'Task 1'!$A$2:$P$13,'Task 1'!I$14,FALSE)="","",VLOOKUP($A4,'Task 1'!$A$2:$P$13,'Task 1'!I$14,FALSE))</f>
        <v xml:space="preserve">import cmd
2
import argparse
3
from finance_tracker.expenses import ExpenseTracker
4
from finance_tracker.budgets import BudgetManager
5
from finance_tracker.users import UserManager
6
from finance_tracker.reports import FinancialReport
7
from finance_tracker.income import IncomeTracker
8
from datetime import datetime
9
10
class FinanceTrackerCLI(cmd.Cmd):
11
    """Command-line interface for the finance tracker."""
12
    prompt = "FinanceTracker&gt; "
13
    intro = "Welcome to the Personal Finance Tracker. Type 'help' for commands."
14
15
    def __init__(self):
16
        super().__init__()
17
        self.user_manager = UserManager()
18
        self.current_user = None
19
        self.expense_tracker = None
20
        self.budget_manager = None
21
        self.report_generator = None
22
23
    def do_login(self, arg):
24
        """Login to the system: login &lt;username&gt; &lt;password&gt;"""
25
        args = arg.split()
26
        if len(args) != 2:
27
            print("Usage: login &lt;username&gt; &lt;password&gt;")
28
            return
29
        username, password = args
30
        if self.user_manager.authenticate_user(username, password):
31
            self.current_user = username
32
            self.expense_tracker = ExpenseTracker(username)
33
            self.budget_manager = BudgetManager(username)
34
            self.report_generator = FinancialReport(username, self.expense_tracker, self.budget_manager)
35
            print(f"Logged in as {username}")
36
        else:
37
            print("Invalid username or password")
38
39
    def do_register(self, arg):
40
        """Register a new user: register &lt;username&gt; &lt;password&gt; &lt;email&gt;"""
41
        args = arg.split()
42
        if len(args) != 3:
43
            print("Usage: register &lt;username&gt; &lt;password&gt; &lt;email&gt;")
44
            return
45
        try:
46
            self.user_manager.register_user(*args)
47
            print(f"User {args[0]} registered successfully")
48
        except ValueError as e:
49
            print(f"Error: {e}")
50
51
    def do_add_expense(self, arg):
52
        """Add an expense: add_expense &lt;amount&gt; &lt;category&gt; &lt;description&gt; [tags] [recurring] [period]"""
53
        if not self.current_user:
54
            print("Please login first")
55
            return
56
        args = arg.split()
57
        if len(args) &lt; 3:
58
            print("Usage: add_expense &lt;amount&gt; &lt;category&gt; &lt;description&gt; [tags] [recurring] [period]")
59
            return
60
        amount, category, description = args[:3]
61
        tags = args[3].split(",") if len(args) &gt; 3 else []
62
        is_recurring = args[4].lower() == "true" if len(args) &gt; 4 else False
63
        period = args[5] if len(args) &gt; 5 else None
64
        try:
65
            expense_id = self.expense_tracker.add_expense(float(amount), category, description, 
66
                                                         tags=tags, is_recurring=is_recurring, 
67
                                                         recurrence_period=period)
68
            print(f"Expense added with ID: {expense_id}")
69
        except ValueError as e:
70
            print(f"Error: {e}")
71
72
    def do_set_budget(self, arg):
73
        """Set a budget: set_budget &lt;category&gt; &lt;amount&gt; [period] [alert_threshold]"""
74
        if not self.current_user:
75
            print("Please login first")
76
            return
77
        args = arg.split()
78
        if len(args) &lt; 2:
79
            print("Usage: set_budget &lt;category&gt; &lt;amount&gt; [period] [alert_threshold]")
80
            return
81
        category, amount = args[:2]
82
        period = args[2] if len(args) &gt; 2 else "monthly"
83
        alert_threshold = float(args[3]) if len(args) &gt; 3 else 0.8
84
        try:
85
            self.budget_manager.set_budget(category, float(amount), period, alert_threshold)
86
            print(f"Budget set for {category} ({period})")
87
        except ValueError as e:
88
            print(f"Error: {e}")
89
90
    def do_generate_report(self, arg):
91
        """Generate a report: generate_report &lt;type&gt; [start_date] [end_date]"""
92
        if not self.current_user:
93
            print("Please login first")
94
            return
95
        args = arg.split()
96
        if len(args) &lt; 1:
97
            print("Usage: generate_report &lt;type&gt; [start_date] [end_date]")
98
            return
99
        report_type = args[0]
100
        start_date = args[1] if len(args) &gt; 1 else None
101
        end_date = args[2] if len(args) &gt; 2 else None
102
        try:
103
            report_file = self.report_generator.generate_report_pdf(report_type, start_date, end_date)
104
            print(f"Report generated: {report_file}")
105
        except Exception as e:
106
            print(f"Error: {e}")
107
108
    def do_exit(self, arg):
109
        """Exit the CLI."""
110
        print("Goodbye!")
111
        return True
112
113
    def preloop(self):
114
        """Initialize CLI state."""
115
        print("Personal Finance Tracker CLI. Type 'register' or 'login' to begin.")
</v>
      </c>
      <c r="AD4" t="str">
        <f>IF(VLOOKUP($A4,'Task 1'!$A$2:$P$13,'Task 1'!J$14,FALSE)="","",VLOOKUP($A4,'Task 1'!$A$2:$P$13,'Task 1'!J$14,FALSE))</f>
        <v xml:space="preserve">cli.py, report.py, income.py </v>
      </c>
      <c r="AE4" t="str">
        <f>IF(VLOOKUP($A4,'Task 1'!$A$2:$P$13,'Task 1'!K$14,FALSE)="","",VLOOKUP($A4,'Task 1'!$A$2:$P$13,'Task 1'!K$14,FALSE))</f>
        <v>Error (ModuleNotFoundError: No module named 'pandas'); next the agent asks the LLM what to do, the LLM suggests to install pandas with pip</v>
      </c>
      <c r="AF4" t="str">
        <f>IF(VLOOKUP($A4,'Task 1'!$A$2:$P$13,'Task 1'!L$14,FALSE)="","",VLOOKUP($A4,'Task 1'!$A$2:$P$13,'Task 1'!L$14,FALSE))</f>
        <v>pandas and matplotlib</v>
      </c>
      <c r="AG4" t="str">
        <f>IF(VLOOKUP($A4,'Task 1'!$A$2:$P$13,'Task 1'!M$14,FALSE)="","",VLOOKUP($A4,'Task 1'!$A$2:$P$13,'Task 1'!M$14,FALSE))</f>
        <v>An indentation error</v>
      </c>
      <c r="AH4" t="str">
        <f>IF(VLOOKUP($A4,'Task 1'!$A$2:$P$13,'Task 1'!N$14,FALSE)="","",VLOOKUP($A4,'Task 1'!$A$2:$P$13,'Task 1'!N$14,FALSE))</f>
        <v>cli.py</v>
      </c>
      <c r="AI4" t="str">
        <f>IF(VLOOKUP($A4,'Task 1'!$A$2:$P$13,'Task 1'!O$14,FALSE)="","",VLOOKUP($A4,'Task 1'!$A$2:$P$13,'Task 1'!O$14,FALSE))</f>
        <v/>
      </c>
      <c r="AJ4" t="str">
        <f>IF(VLOOKUP($A4,'Task 1'!$A$2:$P$13,'Task 1'!P$14,FALSE)="","",VLOOKUP($A4,'Task 1'!$A$2:$P$13,'Task 1'!P$14,FALSE))</f>
        <v xml:space="preserve">first test, then error so next "updated logic" </v>
      </c>
      <c r="AK4" t="str">
        <f>IF(VLOOKUP($A4,Form_Responses8[[Participant Key]:[Find and describe all potential bugs!]],3,FALSE)="","",VLOOKUP($A4,Form_Responses8[[Participant Key]:[Find and describe all potential bugs!]],3,FALSE))</f>
        <v>The LLM suggests to update the read method to account for both \r and \n characters, but the agent misinterprets it and removes the \n (which was correct), instead of adding a new if-case for \r.</v>
      </c>
      <c r="AL4" t="str">
        <f>IF(VLOOKUP($A4,Form_Responses6[[Participant Key]:[Find and describe all potential bugs!]],3,FALSE)="","",VLOOKUP($A4,Form_Responses6[[Participant Key]:[Find and describe all potential bugs!]],3,FALSE))</f>
        <v xml:space="preserve">The agent tries to use forbidden commands (for which it has no permission) multiple times. It also tries to chain commands, which also does not seem to work. 
The LLM suggests to write a dockerfile, but the agent runs into problems. 
The agent and LLM do not seem to recognize that they are running in circles. 
It seems like after "The agent acknowledges that the LLM's training data is current only until October 2023.", the agent loses its "history" and tries commands again which have not worked before. </v>
      </c>
      <c r="AM4" cm="1">
        <f t="array" ref="AM4">INDEX('Task 1'!$B$30:$B$43,COLUMN(A3))</f>
        <v>3</v>
      </c>
      <c r="AN4" cm="1">
        <f t="array" ref="AN4">INDEX('Task 1'!$B$30:$B$43,COLUMN(B3))</f>
        <v>1</v>
      </c>
      <c r="AO4" cm="1">
        <f t="array" ref="AO4">INDEX('Task 1'!$B$30:$B$43,COLUMN(C3))</f>
        <v>2</v>
      </c>
      <c r="AP4" cm="1">
        <f t="array" ref="AP4">INDEX('Task 1'!$B$30:$B$43,COLUMN(D3))</f>
        <v>1</v>
      </c>
      <c r="AQ4" cm="1">
        <f t="array" ref="AQ4">INDEX('Task 1'!$B$30:$B$43,COLUMN(E3))</f>
        <v>1</v>
      </c>
      <c r="AR4" cm="1">
        <f t="array" ref="AR4">INDEX('Task 1'!$B$30:$B$43,COLUMN(F3))</f>
        <v>2</v>
      </c>
      <c r="AS4" cm="1">
        <f t="array" ref="AS4">INDEX('Task 1'!$B$30:$B$43,COLUMN(G3))</f>
        <v>1</v>
      </c>
      <c r="AT4" cm="1">
        <f t="array" ref="AT4">INDEX('Task 1'!$B$30:$B$43,COLUMN(H3))</f>
        <v>2</v>
      </c>
      <c r="AU4" cm="1">
        <f t="array" ref="AU4">INDEX('Task 1'!$B$30:$B$43,COLUMN(I3))</f>
        <v>2</v>
      </c>
      <c r="AV4" cm="1">
        <f t="array" ref="AV4">INDEX('Task 1'!$B$30:$B$43,COLUMN(J3))</f>
        <v>1</v>
      </c>
      <c r="AW4" cm="1">
        <f t="array" ref="AW4">INDEX('Task 1'!$B$30:$B$43,COLUMN(K3))</f>
        <v>1</v>
      </c>
      <c r="AX4" cm="1">
        <f t="array" ref="AX4">INDEX('Task 1'!$B$30:$B$43,COLUMN(L3))</f>
        <v>1</v>
      </c>
      <c r="AY4" cm="1">
        <f t="array" ref="AY4">INDEX('Task 1'!$B$30:$B$43,COLUMN(M3))</f>
        <v>1</v>
      </c>
      <c r="AZ4" cm="1">
        <f t="array" ref="AZ4">INDEX('Task 1'!$B$30:$B$43,COLUMN(N3))</f>
        <v>2</v>
      </c>
      <c r="BA4">
        <v>1</v>
      </c>
      <c r="BB4">
        <v>1</v>
      </c>
      <c r="BC4">
        <f>'Task 1'!$B$45</f>
        <v>21</v>
      </c>
      <c r="BD4">
        <f>'Task 1'!$D$45</f>
        <v>84</v>
      </c>
    </row>
    <row r="5" spans="1:56" x14ac:dyDescent="0.15">
      <c r="A5" s="38" t="str">
        <f>'Task 1'!A51</f>
        <v>1d20</v>
      </c>
      <c r="B5" t="str">
        <f>VLOOKUP(A5,'Task 1'!A$48:B$59,2,FALSE)</f>
        <v>A</v>
      </c>
      <c r="C5">
        <f>VLOOKUP($A5,'Task 1'!$A$16:$P$27,'Task 1'!C$14,FALSE)</f>
        <v>1</v>
      </c>
      <c r="D5">
        <f>VLOOKUP($A5,'Task 1'!$A$16:$P$27,'Task 1'!D$14,FALSE)</f>
        <v>1</v>
      </c>
      <c r="E5">
        <f>VLOOKUP($A5,'Task 1'!$A$16:$P$27,'Task 1'!E$14,FALSE)</f>
        <v>2</v>
      </c>
      <c r="F5">
        <f>VLOOKUP($A5,'Task 1'!$A$16:$P$27,'Task 1'!F$14,FALSE)</f>
        <v>1</v>
      </c>
      <c r="G5">
        <f>VLOOKUP($A5,'Task 1'!$A$16:$P$27,'Task 1'!G$14,FALSE)</f>
        <v>1</v>
      </c>
      <c r="H5">
        <f>VLOOKUP($A5,'Task 1'!$A$16:$P$27,'Task 1'!H$14,FALSE)</f>
        <v>1</v>
      </c>
      <c r="I5">
        <f>VLOOKUP($A5,'Task 1'!$A$16:$P$27,'Task 1'!I$14,FALSE)</f>
        <v>1</v>
      </c>
      <c r="J5">
        <f>VLOOKUP($A5,'Task 1'!$A$16:$P$27,'Task 1'!J$14,FALSE)</f>
        <v>1</v>
      </c>
      <c r="K5">
        <f>VLOOKUP($A5,'Task 1'!$A$16:$P$27,'Task 1'!K$14,FALSE)</f>
        <v>2</v>
      </c>
      <c r="L5">
        <f>VLOOKUP($A5,'Task 1'!$A$16:$P$27,'Task 1'!L$14,FALSE)</f>
        <v>1</v>
      </c>
      <c r="M5">
        <f>VLOOKUP($A5,'Task 1'!$A$16:$P$27,'Task 1'!M$14,FALSE)</f>
        <v>1</v>
      </c>
      <c r="N5">
        <f>VLOOKUP($A5,'Task 1'!$A$16:$P$27,'Task 1'!N$14,FALSE)</f>
        <v>1</v>
      </c>
      <c r="O5">
        <f>VLOOKUP($A5,'Task 1'!$A$16:$P$27,'Task 1'!O$14,FALSE)</f>
        <v>1</v>
      </c>
      <c r="P5">
        <f>VLOOKUP($A5,'Task 1'!$A$16:$P$27,'Task 1'!P$14,FALSE)</f>
        <v>1</v>
      </c>
      <c r="Q5">
        <f>VLOOKUP($A5,'Task 2'!$A$2:$J$12,10,FALSE)</f>
        <v>1</v>
      </c>
      <c r="R5">
        <f>VLOOKUP($A5,'Task 3'!$A$2:$J$12,10,FALSE)</f>
        <v>1</v>
      </c>
      <c r="S5">
        <f>VLOOKUP($A5,'Task 1'!$A$16:$V$27,17,FALSE)</f>
        <v>16</v>
      </c>
      <c r="T5">
        <f>VLOOKUP($A5,'Task 1'!$A$16:$V$27,18,FALSE)</f>
        <v>71</v>
      </c>
      <c r="U5" s="28">
        <f>VLOOKUP($A5,'Task 1'!$A$16:$V$27,19,FALSE)</f>
        <v>0.84523809523809523</v>
      </c>
      <c r="V5" s="63">
        <f>VLOOKUP($A5,'Task 1'!$A$16:$W$27,23,FALSE)</f>
        <v>8.3333333333333329E-2</v>
      </c>
      <c r="W5" t="str">
        <f>IF(VLOOKUP($A5,'Task 1'!$A$2:$P$13,'Task 1'!C$14,FALSE)="","",VLOOKUP($A5,'Task 1'!$A$2:$P$13,'Task 1'!C$14,FALSE))</f>
        <v>The goal is to implement a new feature as described by a PR description</v>
      </c>
      <c r="X5" t="str">
        <f>IF(VLOOKUP($A5,'Task 1'!$A$2:$P$13,'Task 1'!D$14,FALSE)="","",VLOOKUP($A5,'Task 1'!$A$2:$P$13,'Task 1'!D$14,FALSE))</f>
        <v>No, the task was not completed.</v>
      </c>
      <c r="Y5" t="str">
        <f>IF(VLOOKUP($A5,'Task 1'!$A$2:$P$13,'Task 1'!E$14,FALSE)="","",VLOOKUP($A5,'Task 1'!$A$2:$P$13,'Task 1'!E$14,FALSE))</f>
        <v>Listing contents of a directory, reading a file writing to a file, creating a new file, modifying a file via diff syntax, running bash commands</v>
      </c>
      <c r="Z5" t="str">
        <f>IF(VLOOKUP($A5,'Task 1'!$A$2:$P$13,'Task 1'!F$14,FALSE)="","",VLOOKUP($A5,'Task 1'!$A$2:$P$13,'Task 1'!F$14,FALSE))</f>
        <v>Modifying the contents of a file</v>
      </c>
      <c r="AA5" t="str">
        <f>IF(VLOOKUP($A5,'Task 1'!$A$2:$P$13,'Task 1'!G$14,FALSE)="","",VLOOKUP($A5,'Task 1'!$A$2:$P$13,'Task 1'!G$14,FALSE))</f>
        <v>The agent has trouble fixing a syntax error (the indentation error)</v>
      </c>
      <c r="AB5" t="str">
        <f>IF(VLOOKUP($A5,'Task 1'!$A$2:$P$13,'Task 1'!H$14,FALSE)="","",VLOOKUP($A5,'Task 1'!$A$2:$P$13,'Task 1'!H$14,FALSE))</f>
        <v>The agent modified a part of the code that was not the erroneous part of the code. It tried multiple times to fix the indentation error by modifying a different part of the code.</v>
      </c>
      <c r="AC5" t="str">
        <f>IF(VLOOKUP($A5,'Task 1'!$A$2:$P$13,'Task 1'!I$14,FALSE)="","",VLOOKUP($A5,'Task 1'!$A$2:$P$13,'Task 1'!I$14,FALSE))</f>
        <v>7 + from finance_tracker.income import IncomeTracker</v>
      </c>
      <c r="AD5" t="str">
        <f>IF(VLOOKUP($A5,'Task 1'!$A$2:$P$13,'Task 1'!J$14,FALSE)="","",VLOOKUP($A5,'Task 1'!$A$2:$P$13,'Task 1'!J$14,FALSE))</f>
        <v>income.py, expenses.py, reports.py, cli.py</v>
      </c>
      <c r="AE5" t="str">
        <f>IF(VLOOKUP($A5,'Task 1'!$A$2:$P$13,'Task 1'!K$14,FALSE)="","",VLOOKUP($A5,'Task 1'!$A$2:$P$13,'Task 1'!K$14,FALSE))</f>
        <v>It gets the missing module error, and it tries to install the missing library</v>
      </c>
      <c r="AF5" t="str">
        <f>IF(VLOOKUP($A5,'Task 1'!$A$2:$P$13,'Task 1'!L$14,FALSE)="","",VLOOKUP($A5,'Task 1'!$A$2:$P$13,'Task 1'!L$14,FALSE))</f>
        <v>pandas, matplotlib</v>
      </c>
      <c r="AG5" t="str">
        <f>IF(VLOOKUP($A5,'Task 1'!$A$2:$P$13,'Task 1'!M$14,FALSE)="","",VLOOKUP($A5,'Task 1'!$A$2:$P$13,'Task 1'!M$14,FALSE))</f>
        <v>It encounters the indentation error</v>
      </c>
      <c r="AH5" t="str">
        <f>IF(VLOOKUP($A5,'Task 1'!$A$2:$P$13,'Task 1'!N$14,FALSE)="","",VLOOKUP($A5,'Task 1'!$A$2:$P$13,'Task 1'!N$14,FALSE))</f>
        <v>cli.py</v>
      </c>
      <c r="AI5" t="str">
        <f>IF(VLOOKUP($A5,'Task 1'!$A$2:$P$13,'Task 1'!O$14,FALSE)="","",VLOOKUP($A5,'Task 1'!$A$2:$P$13,'Task 1'!O$14,FALSE))</f>
        <v xml:space="preserve">	str_replace_editor str_replace /finance_tracker/finance_tracker/cli.py   --old_str '    def do_generate_income_report(self, arg):' --new_str '    def do_generate_income_report(self, arg):\n        \"\"\"Generate an income report: generate_income_report [start_date] [end_date]\"\"\"\n        if not self.current_user:\n            print(\"Please login first\")\n            return\n        args = arg.split()\n        start_date = args[0] if len(args) &gt; 0 else None\n        end_date = args[1] if len(args) &gt; 1 else None\n        try:\n            report_data = self.income_tracker.generate_income_summary(start_date, end_date)\n            print(json.dumps(report_data, indent=2))\n        except Exception as e:\n            print(f\"Error: {e}\")\n'</v>
      </c>
      <c r="AJ5" t="str">
        <f>IF(VLOOKUP($A5,'Task 1'!$A$2:$P$13,'Task 1'!P$14,FALSE)="","",VLOOKUP($A5,'Task 1'!$A$2:$P$13,'Task 1'!P$14,FALSE))</f>
        <v>They are all modifying the same location of the code, which is not the location that needs a fix. Their purpose is to fix the indentation error, but the edits are the same.</v>
      </c>
      <c r="AK5" t="str">
        <f>IF(VLOOKUP($A5,Form_Responses8[[Participant Key]:[Find and describe all potential bugs!]],3,FALSE)="","",VLOOKUP($A5,Form_Responses8[[Participant Key]:[Find and describe all potential bugs!]],3,FALSE))</f>
        <v>It seems that the tool implementation is buggy and when the agent tries to modify the file, the process does not work correctly. From my inspections the agent tries to modify something, but the resulting file contents are not as expected.</v>
      </c>
      <c r="AL5" t="str">
        <f>IF(VLOOKUP($A5,Form_Responses6[[Participant Key]:[Find and describe all potential bugs!]],3,FALSE)="","",VLOOKUP($A5,Form_Responses6[[Participant Key]:[Find and describe all potential bugs!]],3,FALSE))</f>
        <v>The main issue is that the agent was never able to create a working dockerfile to try different approaches to resolve the problem. The main problem I see in this trajectory is that the error message from one write to a dockerfile was not returned to the agent. The other logic problem that could exist is that the agent seems to not have a good instruction on that it has to first create a dockerfile to be able to run all bash commands.</v>
      </c>
      <c r="AM5" cm="1">
        <f t="array" ref="AM5">INDEX('Task 1'!$B$30:$B$43,COLUMN(A4))</f>
        <v>3</v>
      </c>
      <c r="AN5" cm="1">
        <f t="array" ref="AN5">INDEX('Task 1'!$B$30:$B$43,COLUMN(B4))</f>
        <v>1</v>
      </c>
      <c r="AO5" cm="1">
        <f t="array" ref="AO5">INDEX('Task 1'!$B$30:$B$43,COLUMN(C4))</f>
        <v>2</v>
      </c>
      <c r="AP5" cm="1">
        <f t="array" ref="AP5">INDEX('Task 1'!$B$30:$B$43,COLUMN(D4))</f>
        <v>1</v>
      </c>
      <c r="AQ5" cm="1">
        <f t="array" ref="AQ5">INDEX('Task 1'!$B$30:$B$43,COLUMN(E4))</f>
        <v>1</v>
      </c>
      <c r="AR5" cm="1">
        <f t="array" ref="AR5">INDEX('Task 1'!$B$30:$B$43,COLUMN(F4))</f>
        <v>2</v>
      </c>
      <c r="AS5" cm="1">
        <f t="array" ref="AS5">INDEX('Task 1'!$B$30:$B$43,COLUMN(G4))</f>
        <v>1</v>
      </c>
      <c r="AT5" cm="1">
        <f t="array" ref="AT5">INDEX('Task 1'!$B$30:$B$43,COLUMN(H4))</f>
        <v>2</v>
      </c>
      <c r="AU5" cm="1">
        <f t="array" ref="AU5">INDEX('Task 1'!$B$30:$B$43,COLUMN(I4))</f>
        <v>2</v>
      </c>
      <c r="AV5" cm="1">
        <f t="array" ref="AV5">INDEX('Task 1'!$B$30:$B$43,COLUMN(J4))</f>
        <v>1</v>
      </c>
      <c r="AW5" cm="1">
        <f t="array" ref="AW5">INDEX('Task 1'!$B$30:$B$43,COLUMN(K4))</f>
        <v>1</v>
      </c>
      <c r="AX5" cm="1">
        <f t="array" ref="AX5">INDEX('Task 1'!$B$30:$B$43,COLUMN(L4))</f>
        <v>1</v>
      </c>
      <c r="AY5" cm="1">
        <f t="array" ref="AY5">INDEX('Task 1'!$B$30:$B$43,COLUMN(M4))</f>
        <v>1</v>
      </c>
      <c r="AZ5" cm="1">
        <f t="array" ref="AZ5">INDEX('Task 1'!$B$30:$B$43,COLUMN(N4))</f>
        <v>2</v>
      </c>
      <c r="BA5">
        <v>1</v>
      </c>
      <c r="BB5">
        <v>1</v>
      </c>
      <c r="BC5">
        <f>'Task 1'!$B$45</f>
        <v>21</v>
      </c>
      <c r="BD5">
        <f>'Task 1'!$D$45</f>
        <v>84</v>
      </c>
    </row>
    <row r="6" spans="1:56" x14ac:dyDescent="0.15">
      <c r="A6" s="38" t="str">
        <f>'Task 1'!A52</f>
        <v>33c6</v>
      </c>
      <c r="B6" t="str">
        <f>VLOOKUP(A6,'Task 1'!A$48:B$59,2,FALSE)</f>
        <v>A</v>
      </c>
      <c r="C6">
        <f>VLOOKUP($A6,'Task 1'!$A$16:$P$27,'Task 1'!C$14,FALSE)</f>
        <v>1</v>
      </c>
      <c r="D6">
        <f>VLOOKUP($A6,'Task 1'!$A$16:$P$27,'Task 1'!D$14,FALSE)</f>
        <v>1</v>
      </c>
      <c r="E6">
        <f>VLOOKUP($A6,'Task 1'!$A$16:$P$27,'Task 1'!E$14,FALSE)</f>
        <v>2</v>
      </c>
      <c r="F6">
        <f>VLOOKUP($A6,'Task 1'!$A$16:$P$27,'Task 1'!F$14,FALSE)</f>
        <v>1</v>
      </c>
      <c r="G6">
        <f>VLOOKUP($A6,'Task 1'!$A$16:$P$27,'Task 1'!G$14,FALSE)</f>
        <v>1</v>
      </c>
      <c r="H6">
        <f>VLOOKUP($A6,'Task 1'!$A$16:$P$27,'Task 1'!H$14,FALSE)</f>
        <v>2</v>
      </c>
      <c r="I6">
        <f>VLOOKUP($A6,'Task 1'!$A$16:$P$27,'Task 1'!I$14,FALSE)</f>
        <v>1</v>
      </c>
      <c r="J6">
        <f>VLOOKUP($A6,'Task 1'!$A$16:$P$27,'Task 1'!J$14,FALSE)</f>
        <v>1</v>
      </c>
      <c r="K6">
        <f>VLOOKUP($A6,'Task 1'!$A$16:$P$27,'Task 1'!K$14,FALSE)</f>
        <v>2</v>
      </c>
      <c r="L6">
        <f>VLOOKUP($A6,'Task 1'!$A$16:$P$27,'Task 1'!L$14,FALSE)</f>
        <v>1</v>
      </c>
      <c r="M6">
        <f>VLOOKUP($A6,'Task 1'!$A$16:$P$27,'Task 1'!M$14,FALSE)</f>
        <v>1</v>
      </c>
      <c r="N6">
        <f>VLOOKUP($A6,'Task 1'!$A$16:$P$27,'Task 1'!N$14,FALSE)</f>
        <v>1</v>
      </c>
      <c r="O6">
        <f>VLOOKUP($A6,'Task 1'!$A$16:$P$27,'Task 1'!O$14,FALSE)</f>
        <v>1</v>
      </c>
      <c r="P6">
        <f>VLOOKUP($A6,'Task 1'!$A$16:$P$27,'Task 1'!P$14,FALSE)</f>
        <v>1</v>
      </c>
      <c r="Q6">
        <f>VLOOKUP($A6,'Task 2'!$A$2:$J$12,10,FALSE)</f>
        <v>1</v>
      </c>
      <c r="R6">
        <f>VLOOKUP($A6,'Task 3'!$A$2:$J$12,10,FALSE)</f>
        <v>1</v>
      </c>
      <c r="S6">
        <f>VLOOKUP($A6,'Task 1'!$A$16:$V$27,17,FALSE)</f>
        <v>17</v>
      </c>
      <c r="T6">
        <f>VLOOKUP($A6,'Task 1'!$A$16:$V$27,18,FALSE)</f>
        <v>74</v>
      </c>
      <c r="U6" s="28">
        <f>VLOOKUP($A6,'Task 1'!$A$16:$V$27,19,FALSE)</f>
        <v>0.88095238095238093</v>
      </c>
      <c r="V6" s="63">
        <f>VLOOKUP($A6,'Task 1'!$A$16:$W$27,23,FALSE)</f>
        <v>0</v>
      </c>
      <c r="W6" t="str">
        <f>IF(VLOOKUP($A6,'Task 1'!$A$2:$P$13,'Task 1'!C$14,FALSE)="","",VLOOKUP($A6,'Task 1'!$A$2:$P$13,'Task 1'!C$14,FALSE))</f>
        <v>Implementing a feature as suggested by a pull request</v>
      </c>
      <c r="X6" t="str">
        <f>IF(VLOOKUP($A6,'Task 1'!$A$2:$P$13,'Task 1'!D$14,FALSE)="","",VLOOKUP($A6,'Task 1'!$A$2:$P$13,'Task 1'!D$14,FALSE))</f>
        <v>No, the task was not completed.</v>
      </c>
      <c r="Y6" t="str">
        <f>IF(VLOOKUP($A6,'Task 1'!$A$2:$P$13,'Task 1'!E$14,FALSE)="","",VLOOKUP($A6,'Task 1'!$A$2:$P$13,'Task 1'!E$14,FALSE))</f>
        <v>listing files, showing file content, make modifications to files, create files, execute tests, install dependencies</v>
      </c>
      <c r="Z6" t="str">
        <f>IF(VLOOKUP($A6,'Task 1'!$A$2:$P$13,'Task 1'!F$14,FALSE)="","",VLOOKUP($A6,'Task 1'!$A$2:$P$13,'Task 1'!F$14,FALSE))</f>
        <v>editing files</v>
      </c>
      <c r="AA6" t="str">
        <f>IF(VLOOKUP($A6,'Task 1'!$A$2:$P$13,'Task 1'!G$14,FALSE)="","",VLOOKUP($A6,'Task 1'!$A$2:$P$13,'Task 1'!G$14,FALSE))</f>
        <v>Trying to add code to generate an income report. After multiple tries of making this change the tests always fail with an IndentationError.</v>
      </c>
      <c r="AB6" t="str">
        <f>IF(VLOOKUP($A6,'Task 1'!$A$2:$P$13,'Task 1'!H$14,FALSE)="","",VLOOKUP($A6,'Task 1'!$A$2:$P$13,'Task 1'!H$14,FALSE))</f>
        <v>The agent adds the code for generating an income report 6 times in a row before execution ends. It is always the same code change.</v>
      </c>
      <c r="AC6" t="str">
        <f>IF(VLOOKUP($A6,'Task 1'!$A$2:$P$13,'Task 1'!I$14,FALSE)="","",VLOOKUP($A6,'Task 1'!$A$2:$P$13,'Task 1'!I$14,FALSE))</f>
        <v xml:space="preserve">object		{2}
tool	:	str_replace_editor str_replace /finance_tracker/finance_tracker/cli.py   --old_str 'from finance_tracker.reports import FinancialReport' --new_str 'from finance_tracker.reports import FinancialReport\nfrom finance_tracker.income import IncomeTracker'
args	:	null
</v>
      </c>
      <c r="AD6" t="str">
        <f>IF(VLOOKUP($A6,'Task 1'!$A$2:$P$13,'Task 1'!J$14,FALSE)="","",VLOOKUP($A6,'Task 1'!$A$2:$P$13,'Task 1'!J$14,FALSE))</f>
        <v>cli.py, reports.py, expenses.py, income.py</v>
      </c>
      <c r="AE6" t="str">
        <f>IF(VLOOKUP($A6,'Task 1'!$A$2:$P$13,'Task 1'!K$14,FALSE)="","",VLOOKUP($A6,'Task 1'!$A$2:$P$13,'Task 1'!K$14,FALSE))</f>
        <v>Traceback (most recent call last):
  File "/finance_tracker/finance_tracker/tests/test_income.py", line 5, in &lt;module&gt;
    from finance_tracker.reports import FinancialReport
  File "/finance_tracker/finance_tracker/reports.py", line 5, in &lt;module&gt;
    import pandas as pd
ModuleNotFoundError: No module named 'pandas'
The agent then installs the pandas dependency using pip</v>
      </c>
      <c r="AF6" t="str">
        <f>IF(VLOOKUP($A6,'Task 1'!$A$2:$P$13,'Task 1'!L$14,FALSE)="","",VLOOKUP($A6,'Task 1'!$A$2:$P$13,'Task 1'!L$14,FALSE))</f>
        <v>pandas, matplotlib</v>
      </c>
      <c r="AG6" t="str">
        <f>IF(VLOOKUP($A6,'Task 1'!$A$2:$P$13,'Task 1'!M$14,FALSE)="","",VLOOKUP($A6,'Task 1'!$A$2:$P$13,'Task 1'!M$14,FALSE))</f>
        <v>Traceback (most recent call last):   File "/finance_tracker/finance_tracker/tests/test_income.py", line 7, in &lt;module&gt;     from finance_tracker.cli import FinanceTrackerCLI   File "/finance_tracker/finance_tracker/cli.py", line 41     def do_generate_income_report(self, arg):     ^ IndentationError: expected an indented block after function definition on line 40</v>
      </c>
      <c r="AH6" t="str">
        <f>IF(VLOOKUP($A6,'Task 1'!$A$2:$P$13,'Task 1'!N$14,FALSE)="","",VLOOKUP($A6,'Task 1'!$A$2:$P$13,'Task 1'!N$14,FALSE))</f>
        <v>cli.py</v>
      </c>
      <c r="AI6" t="str">
        <f>IF(VLOOKUP($A6,'Task 1'!$A$2:$P$13,'Task 1'!O$14,FALSE)="","",VLOOKUP($A6,'Task 1'!$A$2:$P$13,'Task 1'!O$14,FALSE))</f>
        <v>Yes. Tool call 1: object		{2}
tool	:	str_replace_editor str_replace /finance_tracker/finance_tracker/cli.py   --old_str '    def do_generate_income_report(self, arg):' --new_str '    def do_generate_income_report(self, arg):\n        \"\"\"Generate an income report: generate_income_report [start_date] [end_date]\"\"\"\n        if not self.current_user:\n            print(\"Please login first\")\n            return\n        args = arg.split()\n        start_date = args[0] if len(args) &gt; 0 else None\n        end_date = args[1] if len(args) &gt; 1 else None\n        try:\n            report_data = self.income_tracker.generate_income_summary(start_date, end_date)\n            print(json.dumps(report_data, indent=2))\n        except Exception as e:\n            print(f\"Error: {e}\")\n'
args	:	null
Tool call 2: 	object		{2}
tool	:	str_replace_editor str_replace /finance_tracker/finance_tracker/cli.py   --old_str '    def do_generate_income_report(self, arg):' --new_str '    def do_generate_income_report(self, arg):\n        \"\"\"Generate an income report: generate_income_report [start_date] [end_date]\"\"\"\n        if not self.current_user:\n            print(\"Please login first\")\n            return\n        args = arg.split()\n        start_date = args[0] if len(args) &gt; 0 else None\n        end_date = args[1] if len(args) &gt; 1 else None\n        try:\n            report_data = self.income_tracker.generate_income_summary(start_date, end_date)\n            print(json.dumps(report_data, indent=2))\n        except Exception as e:\n            print(f\"Error: {e}\")\n'
args	:	null</v>
      </c>
      <c r="AJ6" t="str">
        <f>IF(VLOOKUP($A6,'Task 1'!$A$2:$P$13,'Task 1'!P$14,FALSE)="","",VLOOKUP($A6,'Task 1'!$A$2:$P$13,'Task 1'!P$14,FALSE))</f>
        <v>They are all making the same change to cli.py.</v>
      </c>
      <c r="AK6" t="str">
        <f>IF(VLOOKUP($A6,Form_Responses8[[Participant Key]:[Find and describe all potential bugs!]],3,FALSE)="","",VLOOKUP($A6,Form_Responses8[[Participant Key]:[Find and describe all potential bugs!]],3,FALSE))</f>
        <v>The LLM calls the write_fix tool with a meaningful fix trying to modify the line 58 to also handle other line endings. There seems to however be a bug in the implementation of applying the proposed fix to the repository. The file is not correctly modified but the line to modify is only removed.</v>
      </c>
      <c r="AL6" t="str">
        <f>IF(VLOOKUP($A6,Form_Responses6[[Participant Key]:[Find and describe all potential bugs!]],3,FALSE)="","",VLOOKUP($A6,Form_Responses6[[Participant Key]:[Find and describe all potential bugs!]],3,FALSE))</f>
        <v>At the beginning the LLM tries to run a bash command to setup openjdk eventhough it is not allowed to do this at that state. In the second tool call it tries to run an unallowed command. The third LLM response is empty as the LLM rejects the prompt. Similar problems occur multiple times. The agent continues to fail to create a script for seting up the docker environment. After a while the LLM is able to successfully call the tool to write a docker file, but the agent fails to start the docker image. It tries this multiple more times but it is not clear why it fails.</v>
      </c>
      <c r="AM6" cm="1">
        <f t="array" ref="AM6">INDEX('Task 1'!$B$30:$B$43,COLUMN(A5))</f>
        <v>3</v>
      </c>
      <c r="AN6" cm="1">
        <f t="array" ref="AN6">INDEX('Task 1'!$B$30:$B$43,COLUMN(B5))</f>
        <v>1</v>
      </c>
      <c r="AO6" cm="1">
        <f t="array" ref="AO6">INDEX('Task 1'!$B$30:$B$43,COLUMN(C5))</f>
        <v>2</v>
      </c>
      <c r="AP6" cm="1">
        <f t="array" ref="AP6">INDEX('Task 1'!$B$30:$B$43,COLUMN(D5))</f>
        <v>1</v>
      </c>
      <c r="AQ6" cm="1">
        <f t="array" ref="AQ6">INDEX('Task 1'!$B$30:$B$43,COLUMN(E5))</f>
        <v>1</v>
      </c>
      <c r="AR6" cm="1">
        <f t="array" ref="AR6">INDEX('Task 1'!$B$30:$B$43,COLUMN(F5))</f>
        <v>2</v>
      </c>
      <c r="AS6" cm="1">
        <f t="array" ref="AS6">INDEX('Task 1'!$B$30:$B$43,COLUMN(G5))</f>
        <v>1</v>
      </c>
      <c r="AT6" cm="1">
        <f t="array" ref="AT6">INDEX('Task 1'!$B$30:$B$43,COLUMN(H5))</f>
        <v>2</v>
      </c>
      <c r="AU6" cm="1">
        <f t="array" ref="AU6">INDEX('Task 1'!$B$30:$B$43,COLUMN(I5))</f>
        <v>2</v>
      </c>
      <c r="AV6" cm="1">
        <f t="array" ref="AV6">INDEX('Task 1'!$B$30:$B$43,COLUMN(J5))</f>
        <v>1</v>
      </c>
      <c r="AW6" cm="1">
        <f t="array" ref="AW6">INDEX('Task 1'!$B$30:$B$43,COLUMN(K5))</f>
        <v>1</v>
      </c>
      <c r="AX6" cm="1">
        <f t="array" ref="AX6">INDEX('Task 1'!$B$30:$B$43,COLUMN(L5))</f>
        <v>1</v>
      </c>
      <c r="AY6" cm="1">
        <f t="array" ref="AY6">INDEX('Task 1'!$B$30:$B$43,COLUMN(M5))</f>
        <v>1</v>
      </c>
      <c r="AZ6" cm="1">
        <f t="array" ref="AZ6">INDEX('Task 1'!$B$30:$B$43,COLUMN(N5))</f>
        <v>2</v>
      </c>
      <c r="BA6">
        <v>1</v>
      </c>
      <c r="BB6">
        <v>1</v>
      </c>
      <c r="BC6">
        <f>'Task 1'!$B$45</f>
        <v>21</v>
      </c>
      <c r="BD6">
        <f>'Task 1'!$D$45</f>
        <v>84</v>
      </c>
    </row>
    <row r="7" spans="1:56" x14ac:dyDescent="0.15">
      <c r="A7" s="38" t="str">
        <f>'Task 1'!A53</f>
        <v>49f7</v>
      </c>
      <c r="B7" t="str">
        <f>VLOOKUP(A7,'Task 1'!A$48:B$59,2,FALSE)</f>
        <v>B</v>
      </c>
      <c r="C7">
        <f>VLOOKUP($A7,'Task 1'!$A$16:$P$27,'Task 1'!C$14,FALSE)</f>
        <v>2</v>
      </c>
      <c r="D7">
        <f>VLOOKUP($A7,'Task 1'!$A$16:$P$27,'Task 1'!D$14,FALSE)</f>
        <v>1</v>
      </c>
      <c r="E7">
        <f>VLOOKUP($A7,'Task 1'!$A$16:$P$27,'Task 1'!E$14,FALSE)</f>
        <v>2</v>
      </c>
      <c r="F7">
        <f>VLOOKUP($A7,'Task 1'!$A$16:$P$27,'Task 1'!F$14,FALSE)</f>
        <v>1</v>
      </c>
      <c r="G7">
        <f>VLOOKUP($A7,'Task 1'!$A$16:$P$27,'Task 1'!G$14,FALSE)</f>
        <v>1</v>
      </c>
      <c r="H7">
        <f>VLOOKUP($A7,'Task 1'!$A$16:$P$27,'Task 1'!H$14,FALSE)</f>
        <v>2</v>
      </c>
      <c r="I7">
        <f>VLOOKUP($A7,'Task 1'!$A$16:$P$27,'Task 1'!I$14,FALSE)</f>
        <v>0</v>
      </c>
      <c r="J7">
        <f>VLOOKUP($A7,'Task 1'!$A$16:$P$27,'Task 1'!J$14,FALSE)</f>
        <v>0</v>
      </c>
      <c r="K7">
        <f>VLOOKUP($A7,'Task 1'!$A$16:$P$27,'Task 1'!K$14,FALSE)</f>
        <v>2</v>
      </c>
      <c r="L7">
        <f>VLOOKUP($A7,'Task 1'!$A$16:$P$27,'Task 1'!L$14,FALSE)</f>
        <v>1</v>
      </c>
      <c r="M7">
        <f>VLOOKUP($A7,'Task 1'!$A$16:$P$27,'Task 1'!M$14,FALSE)</f>
        <v>1</v>
      </c>
      <c r="N7">
        <f>VLOOKUP($A7,'Task 1'!$A$16:$P$27,'Task 1'!N$14,FALSE)</f>
        <v>1</v>
      </c>
      <c r="O7">
        <f>VLOOKUP($A7,'Task 1'!$A$16:$P$27,'Task 1'!O$14,FALSE)</f>
        <v>1</v>
      </c>
      <c r="P7">
        <f>VLOOKUP($A7,'Task 1'!$A$16:$P$27,'Task 1'!P$14,FALSE)</f>
        <v>1</v>
      </c>
      <c r="Q7">
        <f>VLOOKUP($A7,'Task 2'!$A$2:$J$12,10,FALSE)</f>
        <v>0</v>
      </c>
      <c r="R7">
        <f>VLOOKUP($A7,'Task 3'!$A$2:$J$12,10,FALSE)</f>
        <v>1</v>
      </c>
      <c r="S7">
        <f>VLOOKUP($A7,'Task 1'!$A$16:$V$27,17,FALSE)</f>
        <v>16</v>
      </c>
      <c r="T7">
        <f>VLOOKUP($A7,'Task 1'!$A$16:$V$27,18,FALSE)</f>
        <v>67</v>
      </c>
      <c r="U7" s="28">
        <f>VLOOKUP($A7,'Task 1'!$A$16:$V$27,19,FALSE)</f>
        <v>0.79761904761904767</v>
      </c>
      <c r="V7" s="63">
        <f>VLOOKUP($A7,'Task 1'!$A$16:$W$27,23,FALSE)</f>
        <v>0.16666666666666666</v>
      </c>
      <c r="W7" t="str">
        <f>IF(VLOOKUP($A7,'Task 1'!$A$2:$P$13,'Task 1'!C$14,FALSE)="","",VLOOKUP($A7,'Task 1'!$A$2:$P$13,'Task 1'!C$14,FALSE))</f>
        <v>The agents goal is to add an income tracking feature to a personal finance tracker written in python</v>
      </c>
      <c r="X7" t="str">
        <f>IF(VLOOKUP($A7,'Task 1'!$A$2:$P$13,'Task 1'!D$14,FALSE)="","",VLOOKUP($A7,'Task 1'!$A$2:$P$13,'Task 1'!D$14,FALSE))</f>
        <v>No, the task was not completed.</v>
      </c>
      <c r="Y7" t="str">
        <f>IF(VLOOKUP($A7,'Task 1'!$A$2:$P$13,'Task 1'!E$14,FALSE)="","",VLOOKUP($A7,'Task 1'!$A$2:$P$13,'Task 1'!E$14,FALSE))</f>
        <v>Listing directories (ls), printing file contents (cat), writing file contents (str_replace_editor), running program (python3)</v>
      </c>
      <c r="Z7" t="str">
        <f>IF(VLOOKUP($A7,'Task 1'!$A$2:$P$13,'Task 1'!F$14,FALSE)="","",VLOOKUP($A7,'Task 1'!$A$2:$P$13,'Task 1'!F$14,FALSE))</f>
        <v>str_replace_editor (replacing parts of a file)</v>
      </c>
      <c r="AA7" t="str">
        <f>IF(VLOOKUP($A7,'Task 1'!$A$2:$P$13,'Task 1'!G$14,FALSE)="","",VLOOKUP($A7,'Task 1'!$A$2:$P$13,'Task 1'!G$14,FALSE))</f>
        <v>It is unable to indent properly (IndentationError)</v>
      </c>
      <c r="AB7" t="str">
        <f>IF(VLOOKUP($A7,'Task 1'!$A$2:$P$13,'Task 1'!H$14,FALSE)="","",VLOOKUP($A7,'Task 1'!$A$2:$P$13,'Task 1'!H$14,FALSE))</f>
        <v>Yes, it keeps "replacing" the line '    def do_generate_income_report(self, arg):' in /finance_tracker/cli.py with the same value, not knowing that the actual problem is that 'def __init__(self):' has no proper body.</v>
      </c>
      <c r="AC7" t="str">
        <f>IF(VLOOKUP($A7,'Task 1'!$A$2:$P$13,'Task 1'!I$14,FALSE)="","",VLOOKUP($A7,'Task 1'!$A$2:$P$13,'Task 1'!I$14,FALSE))</f>
        <v>--- a/finance_tracker/cli.py
+++ b/finance_tracker/cli.py
@@ -4,6 +4,7 @@ from finance_tracker.expenses import ExpenseTracker
 from finance_tracker.budgets import BudgetManager
 from finance_tracker.users import UserManager
 from finance_tracker.reports import FinancialReport
+from finance_tracker.income import IncomeTracker
 from datetime import datetime
 class FinanceTrackerCLI(cmd.Cmd):
(str_replace_editor str_replace /finance_tracker/finance_tracker/cli.py   --old_str 'from finance_tracker.reports import FinancialReport' --new_str 'from finance_tracker.reports import FinancialReport)</v>
      </c>
      <c r="AD7" t="str">
        <f>IF(VLOOKUP($A7,'Task 1'!$A$2:$P$13,'Task 1'!J$14,FALSE)="","",VLOOKUP($A7,'Task 1'!$A$2:$P$13,'Task 1'!J$14,FALSE))</f>
        <v>cli.py, README.md</v>
      </c>
      <c r="AE7" t="str">
        <f>IF(VLOOKUP($A7,'Task 1'!$A$2:$P$13,'Task 1'!K$14,FALSE)="","",VLOOKUP($A7,'Task 1'!$A$2:$P$13,'Task 1'!K$14,FALSE))</f>
        <v>Traceback (most recent call last):
  File "/finance_tracker/finance_tracker/tests/test_income.py", line 5, in &lt;module&gt;
    from finance_tracker.reports import FinancialReport
  File "/finance_tracker/finance_tracker/reports.py", line 5, in &lt;module&gt;
    import pandas as pd
ModuleNotFoundError: No module named 'pandas'
it then proceeds to installing pandas using 'pip install pandas'</v>
      </c>
      <c r="AF7" t="str">
        <f>IF(VLOOKUP($A7,'Task 1'!$A$2:$P$13,'Task 1'!L$14,FALSE)="","",VLOOKUP($A7,'Task 1'!$A$2:$P$13,'Task 1'!L$14,FALSE))</f>
        <v>pandas, matplotlib</v>
      </c>
      <c r="AG7" t="str">
        <f>IF(VLOOKUP($A7,'Task 1'!$A$2:$P$13,'Task 1'!M$14,FALSE)="","",VLOOKUP($A7,'Task 1'!$A$2:$P$13,'Task 1'!M$14,FALSE))</f>
        <v>Traceback (most recent call last):   File "/finance_tracker/finance_tracker/tests/test_income.py", line 7, in &lt;module&gt;     from finance_tracker.cli import FinanceTrackerCLI   File "/finance_tracker/finance_tracker/cli.py", line 41     def do_generate_income_report(self, arg):     ^ IndentationError: expected an indented block after function definition on line 40</v>
      </c>
      <c r="AH7" t="str">
        <f>IF(VLOOKUP($A7,'Task 1'!$A$2:$P$13,'Task 1'!N$14,FALSE)="","",VLOOKUP($A7,'Task 1'!$A$2:$P$13,'Task 1'!N$14,FALSE))</f>
        <v>cli.py</v>
      </c>
      <c r="AI7" t="str">
        <f>IF(VLOOKUP($A7,'Task 1'!$A$2:$P$13,'Task 1'!O$14,FALSE)="","",VLOOKUP($A7,'Task 1'!$A$2:$P$13,'Task 1'!O$14,FALSE))</f>
        <v>str_replace_editor str_replace /finance_tracker/finance_tracker/cli.py   --old_str '    def do_generate_income_report(self, arg):' --new_str '    def do_generate_income_report(self, arg):
        """Generate an income report: generate_income_report [start_date] [end_date]"""
        if not self.current_user:
            print("Please login first")
            return
        args = arg.split()
        start_date = args[0] if len(args) &gt; 0 else None
        end_date = args[1] if len(args) &gt; 1 else None
        try:
            report_data = self.income_tracker.generate_income_summary(start_date, end_date)
            print(json.dumps(report_data, indent=2))
        except Exception as e:
            print(f"Error: {e}")
'
It does this repeatedly without changing anything, re-runs the test and repeats.</v>
      </c>
      <c r="AJ7" t="str">
        <f>IF(VLOOKUP($A7,'Task 1'!$A$2:$P$13,'Task 1'!P$14,FALSE)="","",VLOOKUP($A7,'Task 1'!$A$2:$P$13,'Task 1'!P$14,FALSE))</f>
        <v>The agent does the same changes five times, sometimes running the test in between and sometimes not</v>
      </c>
      <c r="AK7" t="str">
        <f>IF(VLOOKUP($A7,Form_Responses8[[Participant Key]:[Find and describe all potential bugs!]],3,FALSE)="","",VLOOKUP($A7,Form_Responses8[[Participant Key]:[Find and describe all potential bugs!]],3,FALSE))</f>
        <v>Test 'org.apache.commons.csv.CSVParserTest::testGetLineNumberWithCR' fails. However, the agent only is shown code from code from 'org.apache.commons.csv.CSVParserTest::testGetLineNumberWithCRLF'</v>
      </c>
      <c r="AL7" t="str">
        <f>IF(VLOOKUP($A7,Form_Responses6[[Participant Key]:[Find and describe all potential bugs!]],3,FALSE)="","",VLOOKUP($A7,Form_Responses6[[Participant Key]:[Find and describe all potential bugs!]],3,FALSE))</f>
        <v>Docker commands are not allowed on the system. The agent is told upfront that this is not possible, but it does it anyways. At first, it correctly uses write_to_file instead, but when the docker container fails to start for an unspecified reason, the agent tries to "escape" into a new shell that does not have this restriction or issues with the docker command. That is prohibited as well. ...</v>
      </c>
      <c r="AM7" cm="1">
        <f t="array" ref="AM7">INDEX('Task 1'!$B$30:$B$43,COLUMN(A6))</f>
        <v>3</v>
      </c>
      <c r="AN7" cm="1">
        <f t="array" ref="AN7">INDEX('Task 1'!$B$30:$B$43,COLUMN(B6))</f>
        <v>1</v>
      </c>
      <c r="AO7" cm="1">
        <f t="array" ref="AO7">INDEX('Task 1'!$B$30:$B$43,COLUMN(C6))</f>
        <v>2</v>
      </c>
      <c r="AP7" cm="1">
        <f t="array" ref="AP7">INDEX('Task 1'!$B$30:$B$43,COLUMN(D6))</f>
        <v>1</v>
      </c>
      <c r="AQ7" cm="1">
        <f t="array" ref="AQ7">INDEX('Task 1'!$B$30:$B$43,COLUMN(E6))</f>
        <v>1</v>
      </c>
      <c r="AR7" cm="1">
        <f t="array" ref="AR7">INDEX('Task 1'!$B$30:$B$43,COLUMN(F6))</f>
        <v>2</v>
      </c>
      <c r="AS7" cm="1">
        <f t="array" ref="AS7">INDEX('Task 1'!$B$30:$B$43,COLUMN(G6))</f>
        <v>1</v>
      </c>
      <c r="AT7" cm="1">
        <f t="array" ref="AT7">INDEX('Task 1'!$B$30:$B$43,COLUMN(H6))</f>
        <v>2</v>
      </c>
      <c r="AU7" cm="1">
        <f t="array" ref="AU7">INDEX('Task 1'!$B$30:$B$43,COLUMN(I6))</f>
        <v>2</v>
      </c>
      <c r="AV7" cm="1">
        <f t="array" ref="AV7">INDEX('Task 1'!$B$30:$B$43,COLUMN(J6))</f>
        <v>1</v>
      </c>
      <c r="AW7" cm="1">
        <f t="array" ref="AW7">INDEX('Task 1'!$B$30:$B$43,COLUMN(K6))</f>
        <v>1</v>
      </c>
      <c r="AX7" cm="1">
        <f t="array" ref="AX7">INDEX('Task 1'!$B$30:$B$43,COLUMN(L6))</f>
        <v>1</v>
      </c>
      <c r="AY7" cm="1">
        <f t="array" ref="AY7">INDEX('Task 1'!$B$30:$B$43,COLUMN(M6))</f>
        <v>1</v>
      </c>
      <c r="AZ7" cm="1">
        <f t="array" ref="AZ7">INDEX('Task 1'!$B$30:$B$43,COLUMN(N6))</f>
        <v>2</v>
      </c>
      <c r="BA7">
        <v>1</v>
      </c>
      <c r="BB7">
        <v>1</v>
      </c>
      <c r="BC7">
        <f>'Task 1'!$B$45</f>
        <v>21</v>
      </c>
      <c r="BD7">
        <f>'Task 1'!$D$45</f>
        <v>84</v>
      </c>
    </row>
    <row r="8" spans="1:56" x14ac:dyDescent="0.15">
      <c r="A8" s="38" t="str">
        <f>'Task 1'!A54</f>
        <v>536e</v>
      </c>
      <c r="B8" t="str">
        <f>VLOOKUP(A8,'Task 1'!A$48:B$59,2,FALSE)</f>
        <v>A</v>
      </c>
      <c r="C8">
        <f>VLOOKUP($A8,'Task 1'!$A$16:$P$27,'Task 1'!C$14,FALSE)</f>
        <v>2</v>
      </c>
      <c r="D8">
        <f>VLOOKUP($A8,'Task 1'!$A$16:$P$27,'Task 1'!D$14,FALSE)</f>
        <v>0</v>
      </c>
      <c r="E8">
        <f>VLOOKUP($A8,'Task 1'!$A$16:$P$27,'Task 1'!E$14,FALSE)</f>
        <v>2</v>
      </c>
      <c r="F8">
        <f>VLOOKUP($A8,'Task 1'!$A$16:$P$27,'Task 1'!F$14,FALSE)</f>
        <v>0</v>
      </c>
      <c r="G8">
        <f>VLOOKUP($A8,'Task 1'!$A$16:$P$27,'Task 1'!G$14,FALSE)</f>
        <v>1</v>
      </c>
      <c r="H8">
        <f>VLOOKUP($A8,'Task 1'!$A$16:$P$27,'Task 1'!H$14,FALSE)</f>
        <v>0</v>
      </c>
      <c r="I8">
        <f>VLOOKUP($A8,'Task 1'!$A$16:$P$27,'Task 1'!I$14,FALSE)</f>
        <v>1</v>
      </c>
      <c r="J8">
        <f>VLOOKUP($A8,'Task 1'!$A$16:$P$27,'Task 1'!J$14,FALSE)</f>
        <v>0</v>
      </c>
      <c r="K8">
        <f>VLOOKUP($A8,'Task 1'!$A$16:$P$27,'Task 1'!K$14,FALSE)</f>
        <v>0</v>
      </c>
      <c r="L8">
        <f>VLOOKUP($A8,'Task 1'!$A$16:$P$27,'Task 1'!L$14,FALSE)</f>
        <v>0</v>
      </c>
      <c r="M8">
        <f>VLOOKUP($A8,'Task 1'!$A$16:$P$27,'Task 1'!M$14,FALSE)</f>
        <v>0</v>
      </c>
      <c r="N8">
        <f>VLOOKUP($A8,'Task 1'!$A$16:$P$27,'Task 1'!N$14,FALSE)</f>
        <v>0</v>
      </c>
      <c r="O8">
        <f>VLOOKUP($A8,'Task 1'!$A$16:$P$27,'Task 1'!O$14,FALSE)</f>
        <v>0</v>
      </c>
      <c r="P8">
        <f>VLOOKUP($A8,'Task 1'!$A$16:$P$27,'Task 1'!P$14,FALSE)</f>
        <v>0</v>
      </c>
      <c r="Q8">
        <f>VLOOKUP($A8,'Task 2'!$A$2:$J$12,10,FALSE)</f>
        <v>0</v>
      </c>
      <c r="R8">
        <f>VLOOKUP($A8,'Task 3'!$A$2:$J$12,10,FALSE)</f>
        <v>0</v>
      </c>
      <c r="S8">
        <f>VLOOKUP($A8,'Task 1'!$A$16:$V$27,17,FALSE)</f>
        <v>6</v>
      </c>
      <c r="T8">
        <f>VLOOKUP($A8,'Task 1'!$A$16:$V$27,18,FALSE)</f>
        <v>22</v>
      </c>
      <c r="U8" s="28">
        <f>VLOOKUP($A8,'Task 1'!$A$16:$V$27,19,FALSE)</f>
        <v>0.26190476190476192</v>
      </c>
      <c r="V8" s="63">
        <f>VLOOKUP($A8,'Task 1'!$A$16:$W$27,23,FALSE)</f>
        <v>0.75</v>
      </c>
      <c r="W8" t="str">
        <f>IF(VLOOKUP($A8,'Task 1'!$A$2:$P$13,'Task 1'!C$14,FALSE)="","",VLOOKUP($A8,'Task 1'!$A$2:$P$13,'Task 1'!C$14,FALSE))</f>
        <v>income tracking feature as detailed in the PR description for the finance tracker project</v>
      </c>
      <c r="X8" t="str">
        <f>IF(VLOOKUP($A8,'Task 1'!$A$2:$P$13,'Task 1'!D$14,FALSE)="","",VLOOKUP($A8,'Task 1'!$A$2:$P$13,'Task 1'!D$14,FALSE))</f>
        <v>Yes, the task was completed successfully.</v>
      </c>
      <c r="Y8" t="str">
        <f>IF(VLOOKUP($A8,'Task 1'!$A$2:$P$13,'Task 1'!E$14,FALSE)="","",VLOOKUP($A8,'Task 1'!$A$2:$P$13,'Task 1'!E$14,FALSE))</f>
        <v>execute bash commands, tool call, file reading, update function</v>
      </c>
      <c r="Z8" t="str">
        <f>IF(VLOOKUP($A8,'Task 1'!$A$2:$P$13,'Task 1'!F$14,FALSE)="","",VLOOKUP($A8,'Task 1'!$A$2:$P$13,'Task 1'!F$14,FALSE))</f>
        <v>tool call</v>
      </c>
      <c r="AA8" t="str">
        <f>IF(VLOOKUP($A8,'Task 1'!$A$2:$P$13,'Task 1'!G$14,FALSE)="","",VLOOKUP($A8,'Task 1'!$A$2:$P$13,'Task 1'!G$14,FALSE))</f>
        <v>IndentationError, indicating a syntax error</v>
      </c>
      <c r="AB8" t="str">
        <f>IF(VLOOKUP($A8,'Task 1'!$A$2:$P$13,'Task 1'!H$14,FALSE)="","",VLOOKUP($A8,'Task 1'!$A$2:$P$13,'Task 1'!H$14,FALSE))</f>
        <v>Yes, he wanted to create a IncomeTracker class with different descriptions</v>
      </c>
      <c r="AC8" t="str">
        <f>IF(VLOOKUP($A8,'Task 1'!$A$2:$P$13,'Task 1'!I$14,FALSE)="","",VLOOKUP($A8,'Task 1'!$A$2:$P$13,'Task 1'!I$14,FALSE))</f>
        <v>replace a string in the File, altering the import statement for FinancialReport and adding IncomeTracker</v>
      </c>
      <c r="AD8" t="str">
        <f>IF(VLOOKUP($A8,'Task 1'!$A$2:$P$13,'Task 1'!J$14,FALSE)="","",VLOOKUP($A8,'Task 1'!$A$2:$P$13,'Task 1'!J$14,FALSE))</f>
        <v>report.py</v>
      </c>
      <c r="AE8" t="str">
        <f>IF(VLOOKUP($A8,'Task 1'!$A$2:$P$13,'Task 1'!K$14,FALSE)="","",VLOOKUP($A8,'Task 1'!$A$2:$P$13,'Task 1'!K$14,FALSE))</f>
        <v/>
      </c>
      <c r="AF8" t="str">
        <f>IF(VLOOKUP($A8,'Task 1'!$A$2:$P$13,'Task 1'!L$14,FALSE)="","",VLOOKUP($A8,'Task 1'!$A$2:$P$13,'Task 1'!L$14,FALSE))</f>
        <v/>
      </c>
      <c r="AG8" t="str">
        <f>IF(VLOOKUP($A8,'Task 1'!$A$2:$P$13,'Task 1'!M$14,FALSE)="","",VLOOKUP($A8,'Task 1'!$A$2:$P$13,'Task 1'!M$14,FALSE))</f>
        <v/>
      </c>
      <c r="AH8" t="str">
        <f>IF(VLOOKUP($A8,'Task 1'!$A$2:$P$13,'Task 1'!N$14,FALSE)="","",VLOOKUP($A8,'Task 1'!$A$2:$P$13,'Task 1'!N$14,FALSE))</f>
        <v/>
      </c>
      <c r="AI8" t="str">
        <f>IF(VLOOKUP($A8,'Task 1'!$A$2:$P$13,'Task 1'!O$14,FALSE)="","",VLOOKUP($A8,'Task 1'!$A$2:$P$13,'Task 1'!O$14,FALSE))</f>
        <v/>
      </c>
      <c r="AJ8" t="str">
        <f>IF(VLOOKUP($A8,'Task 1'!$A$2:$P$13,'Task 1'!P$14,FALSE)="","",VLOOKUP($A8,'Task 1'!$A$2:$P$13,'Task 1'!P$14,FALSE))</f>
        <v/>
      </c>
      <c r="AK8" t="str">
        <f>IF(VLOOKUP($A8,Form_Responses8[[Participant Key]:[Find and describe all potential bugs!]],3,FALSE)="","",VLOOKUP($A8,Form_Responses8[[Participant Key]:[Find and describe all potential bugs!]],3,FALSE))</f>
        <v>The fix description from the agent isnt good enough for the LLM.</v>
      </c>
      <c r="AL8" t="str">
        <f>IF(VLOOKUP($A8,Form_Responses6[[Participant Key]:[Find and describe all potential bugs!]],3,FALSE)="","",VLOOKUP($A8,Form_Responses6[[Participant Key]:[Find and describe all potential bugs!]],3,FALSE))</f>
        <v>The command line could not handle the agents input. It repeats it self.</v>
      </c>
      <c r="AM8" cm="1">
        <f t="array" ref="AM8">INDEX('Task 1'!$B$30:$B$43,COLUMN(A7))</f>
        <v>3</v>
      </c>
      <c r="AN8" cm="1">
        <f t="array" ref="AN8">INDEX('Task 1'!$B$30:$B$43,COLUMN(B7))</f>
        <v>1</v>
      </c>
      <c r="AO8" cm="1">
        <f t="array" ref="AO8">INDEX('Task 1'!$B$30:$B$43,COLUMN(C7))</f>
        <v>2</v>
      </c>
      <c r="AP8" cm="1">
        <f t="array" ref="AP8">INDEX('Task 1'!$B$30:$B$43,COLUMN(D7))</f>
        <v>1</v>
      </c>
      <c r="AQ8" cm="1">
        <f t="array" ref="AQ8">INDEX('Task 1'!$B$30:$B$43,COLUMN(E7))</f>
        <v>1</v>
      </c>
      <c r="AR8" cm="1">
        <f t="array" ref="AR8">INDEX('Task 1'!$B$30:$B$43,COLUMN(F7))</f>
        <v>2</v>
      </c>
      <c r="AS8" cm="1">
        <f t="array" ref="AS8">INDEX('Task 1'!$B$30:$B$43,COLUMN(G7))</f>
        <v>1</v>
      </c>
      <c r="AT8" cm="1">
        <f t="array" ref="AT8">INDEX('Task 1'!$B$30:$B$43,COLUMN(H7))</f>
        <v>2</v>
      </c>
      <c r="AU8" cm="1">
        <f t="array" ref="AU8">INDEX('Task 1'!$B$30:$B$43,COLUMN(I7))</f>
        <v>2</v>
      </c>
      <c r="AV8" cm="1">
        <f t="array" ref="AV8">INDEX('Task 1'!$B$30:$B$43,COLUMN(J7))</f>
        <v>1</v>
      </c>
      <c r="AW8" cm="1">
        <f t="array" ref="AW8">INDEX('Task 1'!$B$30:$B$43,COLUMN(K7))</f>
        <v>1</v>
      </c>
      <c r="AX8" cm="1">
        <f t="array" ref="AX8">INDEX('Task 1'!$B$30:$B$43,COLUMN(L7))</f>
        <v>1</v>
      </c>
      <c r="AY8" cm="1">
        <f t="array" ref="AY8">INDEX('Task 1'!$B$30:$B$43,COLUMN(M7))</f>
        <v>1</v>
      </c>
      <c r="AZ8" cm="1">
        <f t="array" ref="AZ8">INDEX('Task 1'!$B$30:$B$43,COLUMN(N7))</f>
        <v>2</v>
      </c>
      <c r="BA8">
        <v>1</v>
      </c>
      <c r="BB8">
        <v>1</v>
      </c>
      <c r="BC8">
        <f>'Task 1'!$B$45</f>
        <v>21</v>
      </c>
      <c r="BD8">
        <f>'Task 1'!$D$45</f>
        <v>84</v>
      </c>
    </row>
    <row r="9" spans="1:56" x14ac:dyDescent="0.15">
      <c r="A9" s="38" t="str">
        <f>'Task 1'!A55</f>
        <v>5694</v>
      </c>
      <c r="B9" t="str">
        <f>VLOOKUP(A9,'Task 1'!A$48:B$59,2,FALSE)</f>
        <v>B</v>
      </c>
      <c r="C9">
        <f>VLOOKUP($A9,'Task 1'!$A$16:$P$27,'Task 1'!C$14,FALSE)</f>
        <v>3</v>
      </c>
      <c r="D9">
        <f>VLOOKUP($A9,'Task 1'!$A$16:$P$27,'Task 1'!D$14,FALSE)</f>
        <v>1</v>
      </c>
      <c r="E9">
        <f>VLOOKUP($A9,'Task 1'!$A$16:$P$27,'Task 1'!E$14,FALSE)</f>
        <v>1</v>
      </c>
      <c r="F9">
        <f>VLOOKUP($A9,'Task 1'!$A$16:$P$27,'Task 1'!F$14,FALSE)</f>
        <v>0</v>
      </c>
      <c r="G9">
        <f>VLOOKUP($A9,'Task 1'!$A$16:$P$27,'Task 1'!G$14,FALSE)</f>
        <v>0</v>
      </c>
      <c r="H9">
        <f>VLOOKUP($A9,'Task 1'!$A$16:$P$27,'Task 1'!H$14,FALSE)</f>
        <v>0</v>
      </c>
      <c r="I9">
        <f>VLOOKUP($A9,'Task 1'!$A$16:$P$27,'Task 1'!I$14,FALSE)</f>
        <v>0</v>
      </c>
      <c r="J9">
        <f>VLOOKUP($A9,'Task 1'!$A$16:$P$27,'Task 1'!J$14,FALSE)</f>
        <v>0</v>
      </c>
      <c r="K9">
        <f>VLOOKUP($A9,'Task 1'!$A$16:$P$27,'Task 1'!K$14,FALSE)</f>
        <v>1</v>
      </c>
      <c r="L9">
        <f>VLOOKUP($A9,'Task 1'!$A$16:$P$27,'Task 1'!L$14,FALSE)</f>
        <v>1</v>
      </c>
      <c r="M9">
        <f>VLOOKUP($A9,'Task 1'!$A$16:$P$27,'Task 1'!M$14,FALSE)</f>
        <v>1</v>
      </c>
      <c r="N9">
        <f>VLOOKUP($A9,'Task 1'!$A$16:$P$27,'Task 1'!N$14,FALSE)</f>
        <v>1</v>
      </c>
      <c r="O9">
        <f>VLOOKUP($A9,'Task 1'!$A$16:$P$27,'Task 1'!O$14,FALSE)</f>
        <v>0</v>
      </c>
      <c r="P9">
        <f>VLOOKUP($A9,'Task 1'!$A$16:$P$27,'Task 1'!P$14,FALSE)</f>
        <v>0</v>
      </c>
      <c r="Q9">
        <f>VLOOKUP($A9,'Task 2'!$A$2:$J$12,10,FALSE)</f>
        <v>0</v>
      </c>
      <c r="R9">
        <f>VLOOKUP($A9,'Task 3'!$A$2:$J$12,10,FALSE)</f>
        <v>0</v>
      </c>
      <c r="S9">
        <f>VLOOKUP($A9,'Task 1'!$A$16:$V$27,17,FALSE)</f>
        <v>9</v>
      </c>
      <c r="T9">
        <f>VLOOKUP($A9,'Task 1'!$A$16:$V$27,18,FALSE)</f>
        <v>36</v>
      </c>
      <c r="U9" s="28">
        <f>VLOOKUP($A9,'Task 1'!$A$16:$V$27,19,FALSE)</f>
        <v>0.42857142857142855</v>
      </c>
      <c r="V9" s="63">
        <f>VLOOKUP($A9,'Task 1'!$A$16:$W$27,23,FALSE)</f>
        <v>0.66666666666666663</v>
      </c>
      <c r="W9" t="str">
        <f>IF(VLOOKUP($A9,'Task 1'!$A$2:$P$13,'Task 1'!C$14,FALSE)="","",VLOOKUP($A9,'Task 1'!$A$2:$P$13,'Task 1'!C$14,FALSE))</f>
        <v>Enhance the `finance_tracker` project by adding income tracking functionality to complement the existing expense, budget, user, and reporting features. The feature allows users to record income sources, track income by category and date, calculate net balance, and integrate with reporting and CLI.</v>
      </c>
      <c r="X9" t="str">
        <f>IF(VLOOKUP($A9,'Task 1'!$A$2:$P$13,'Task 1'!D$14,FALSE)="","",VLOOKUP($A9,'Task 1'!$A$2:$P$13,'Task 1'!D$14,FALSE))</f>
        <v>No, the task was not completed.</v>
      </c>
      <c r="Y9" t="str">
        <f>IF(VLOOKUP($A9,'Task 1'!$A$2:$P$13,'Task 1'!E$14,FALSE)="","",VLOOKUP($A9,'Task 1'!$A$2:$P$13,'Task 1'!E$14,FALSE))</f>
        <v>Observations, replacements, package installation</v>
      </c>
      <c r="Z9" t="str">
        <f>IF(VLOOKUP($A9,'Task 1'!$A$2:$P$13,'Task 1'!F$14,FALSE)="","",VLOOKUP($A9,'Task 1'!$A$2:$P$13,'Task 1'!F$14,FALSE))</f>
        <v>Observations</v>
      </c>
      <c r="AA9" t="str">
        <f>IF(VLOOKUP($A9,'Task 1'!$A$2:$P$13,'Task 1'!G$14,FALSE)="","",VLOOKUP($A9,'Task 1'!$A$2:$P$13,'Task 1'!G$14,FALSE))</f>
        <v>FunctionCallingFormatError</v>
      </c>
      <c r="AB9" t="str">
        <f>IF(VLOOKUP($A9,'Task 1'!$A$2:$P$13,'Task 1'!H$14,FALSE)="","",VLOOKUP($A9,'Task 1'!$A$2:$P$13,'Task 1'!H$14,FALSE))</f>
        <v>The Agent requeries the model 3 times in a row after a FunctionCallingFormatError</v>
      </c>
      <c r="AC9" t="str">
        <f>IF(VLOOKUP($A9,'Task 1'!$A$2:$P$13,'Task 1'!I$14,FALSE)="","",VLOOKUP($A9,'Task 1'!$A$2:$P$13,'Task 1'!I$14,FALSE))</f>
        <v>- `add_income &lt;amount&gt; &lt;category&gt; &lt;description&gt; [tags] [recurring] [period]`
  - `generate_income_report [start_date] [end_date]`</v>
      </c>
      <c r="AD9" t="str">
        <f>IF(VLOOKUP($A9,'Task 1'!$A$2:$P$13,'Task 1'!J$14,FALSE)="","",VLOOKUP($A9,'Task 1'!$A$2:$P$13,'Task 1'!J$14,FALSE))</f>
        <v>cli.py, README.md</v>
      </c>
      <c r="AE9" t="str">
        <f>IF(VLOOKUP($A9,'Task 1'!$A$2:$P$13,'Task 1'!K$14,FALSE)="","",VLOOKUP($A9,'Task 1'!$A$2:$P$13,'Task 1'!K$14,FALSE))</f>
        <v>ModuleNotFoundError&gt; No module named 'pandas'</v>
      </c>
      <c r="AF9" t="str">
        <f>IF(VLOOKUP($A9,'Task 1'!$A$2:$P$13,'Task 1'!L$14,FALSE)="","",VLOOKUP($A9,'Task 1'!$A$2:$P$13,'Task 1'!L$14,FALSE))</f>
        <v>matplotlib, pandas</v>
      </c>
      <c r="AG9" t="str">
        <f>IF(VLOOKUP($A9,'Task 1'!$A$2:$P$13,'Task 1'!M$14,FALSE)="","",VLOOKUP($A9,'Task 1'!$A$2:$P$13,'Task 1'!M$14,FALSE))</f>
        <v>IndentationError</v>
      </c>
      <c r="AH9" t="str">
        <f>IF(VLOOKUP($A9,'Task 1'!$A$2:$P$13,'Task 1'!N$14,FALSE)="","",VLOOKUP($A9,'Task 1'!$A$2:$P$13,'Task 1'!N$14,FALSE))</f>
        <v>cli.py</v>
      </c>
      <c r="AI9" t="str">
        <f>IF(VLOOKUP($A9,'Task 1'!$A$2:$P$13,'Task 1'!O$14,FALSE)="","",VLOOKUP($A9,'Task 1'!$A$2:$P$13,'Task 1'!O$14,FALSE))</f>
        <v/>
      </c>
      <c r="AJ9" t="str">
        <f>IF(VLOOKUP($A9,'Task 1'!$A$2:$P$13,'Task 1'!P$14,FALSE)="","",VLOOKUP($A9,'Task 1'!$A$2:$P$13,'Task 1'!P$14,FALSE))</f>
        <v>The Agent compares two different versions of the cli.py file</v>
      </c>
      <c r="AK9" t="str">
        <f>IF(VLOOKUP($A9,Form_Responses8[[Participant Key]:[Find and describe all potential bugs!]],3,FALSE)="","",VLOOKUP($A9,Form_Responses8[[Participant Key]:[Find and describe all potential bugs!]],3,FALSE))</f>
        <v>it proposes the same fix over and over again.</v>
      </c>
      <c r="AL9" t="str">
        <f>IF(VLOOKUP($A9,Form_Responses6[[Participant Key]:[Find and describe all potential bugs!]],3,FALSE)="","",VLOOKUP($A9,Form_Responses6[[Participant Key]:[Find and describe all potential bugs!]],3,FALSE))</f>
        <v>Problem: it seems that the files which should be read have invalid syntax. The Agent is does not seem to be able to fix it...
Potential Bug: The Bug seems to be related with java, maybe the installation failed, or java is not yet a environment variable.</v>
      </c>
      <c r="AM9" cm="1">
        <f t="array" ref="AM9">INDEX('Task 1'!$B$30:$B$43,COLUMN(A8))</f>
        <v>3</v>
      </c>
      <c r="AN9" cm="1">
        <f t="array" ref="AN9">INDEX('Task 1'!$B$30:$B$43,COLUMN(B8))</f>
        <v>1</v>
      </c>
      <c r="AO9" cm="1">
        <f t="array" ref="AO9">INDEX('Task 1'!$B$30:$B$43,COLUMN(C8))</f>
        <v>2</v>
      </c>
      <c r="AP9" cm="1">
        <f t="array" ref="AP9">INDEX('Task 1'!$B$30:$B$43,COLUMN(D8))</f>
        <v>1</v>
      </c>
      <c r="AQ9" cm="1">
        <f t="array" ref="AQ9">INDEX('Task 1'!$B$30:$B$43,COLUMN(E8))</f>
        <v>1</v>
      </c>
      <c r="AR9" cm="1">
        <f t="array" ref="AR9">INDEX('Task 1'!$B$30:$B$43,COLUMN(F8))</f>
        <v>2</v>
      </c>
      <c r="AS9" cm="1">
        <f t="array" ref="AS9">INDEX('Task 1'!$B$30:$B$43,COLUMN(G8))</f>
        <v>1</v>
      </c>
      <c r="AT9" cm="1">
        <f t="array" ref="AT9">INDEX('Task 1'!$B$30:$B$43,COLUMN(H8))</f>
        <v>2</v>
      </c>
      <c r="AU9" cm="1">
        <f t="array" ref="AU9">INDEX('Task 1'!$B$30:$B$43,COLUMN(I8))</f>
        <v>2</v>
      </c>
      <c r="AV9" cm="1">
        <f t="array" ref="AV9">INDEX('Task 1'!$B$30:$B$43,COLUMN(J8))</f>
        <v>1</v>
      </c>
      <c r="AW9" cm="1">
        <f t="array" ref="AW9">INDEX('Task 1'!$B$30:$B$43,COLUMN(K8))</f>
        <v>1</v>
      </c>
      <c r="AX9" cm="1">
        <f t="array" ref="AX9">INDEX('Task 1'!$B$30:$B$43,COLUMN(L8))</f>
        <v>1</v>
      </c>
      <c r="AY9" cm="1">
        <f t="array" ref="AY9">INDEX('Task 1'!$B$30:$B$43,COLUMN(M8))</f>
        <v>1</v>
      </c>
      <c r="AZ9" cm="1">
        <f t="array" ref="AZ9">INDEX('Task 1'!$B$30:$B$43,COLUMN(N8))</f>
        <v>2</v>
      </c>
      <c r="BA9">
        <v>1</v>
      </c>
      <c r="BB9">
        <v>1</v>
      </c>
      <c r="BC9">
        <f>'Task 1'!$B$45</f>
        <v>21</v>
      </c>
      <c r="BD9">
        <f>'Task 1'!$D$45</f>
        <v>84</v>
      </c>
    </row>
    <row r="10" spans="1:56" x14ac:dyDescent="0.15">
      <c r="A10" s="38" t="str">
        <f>'Task 1'!A56</f>
        <v>bdb6</v>
      </c>
      <c r="B10" t="str">
        <f>VLOOKUP(A10,'Task 1'!A$48:B$59,2,FALSE)</f>
        <v>B</v>
      </c>
      <c r="C10">
        <f>VLOOKUP($A10,'Task 1'!$A$16:$P$27,'Task 1'!C$14,FALSE)</f>
        <v>0</v>
      </c>
      <c r="D10">
        <f>VLOOKUP($A10,'Task 1'!$A$16:$P$27,'Task 1'!D$14,FALSE)</f>
        <v>1</v>
      </c>
      <c r="E10">
        <f>VLOOKUP($A10,'Task 1'!$A$16:$P$27,'Task 1'!E$14,FALSE)</f>
        <v>2</v>
      </c>
      <c r="F10">
        <f>VLOOKUP($A10,'Task 1'!$A$16:$P$27,'Task 1'!F$14,FALSE)</f>
        <v>0</v>
      </c>
      <c r="G10">
        <f>VLOOKUP($A10,'Task 1'!$A$16:$P$27,'Task 1'!G$14,FALSE)</f>
        <v>1</v>
      </c>
      <c r="H10">
        <f>VLOOKUP($A10,'Task 1'!$A$16:$P$27,'Task 1'!H$14,FALSE)</f>
        <v>2</v>
      </c>
      <c r="I10">
        <f>VLOOKUP($A10,'Task 1'!$A$16:$P$27,'Task 1'!I$14,FALSE)</f>
        <v>1</v>
      </c>
      <c r="J10">
        <f>VLOOKUP($A10,'Task 1'!$A$16:$P$27,'Task 1'!J$14,FALSE)</f>
        <v>0</v>
      </c>
      <c r="K10">
        <f>VLOOKUP($A10,'Task 1'!$A$16:$P$27,'Task 1'!K$14,FALSE)</f>
        <v>2</v>
      </c>
      <c r="L10">
        <f>VLOOKUP($A10,'Task 1'!$A$16:$P$27,'Task 1'!L$14,FALSE)</f>
        <v>1</v>
      </c>
      <c r="M10">
        <f>VLOOKUP($A10,'Task 1'!$A$16:$P$27,'Task 1'!M$14,FALSE)</f>
        <v>1</v>
      </c>
      <c r="N10">
        <f>VLOOKUP($A10,'Task 1'!$A$16:$P$27,'Task 1'!N$14,FALSE)</f>
        <v>1</v>
      </c>
      <c r="O10">
        <f>VLOOKUP($A10,'Task 1'!$A$16:$P$27,'Task 1'!O$14,FALSE)</f>
        <v>1</v>
      </c>
      <c r="P10">
        <f>VLOOKUP($A10,'Task 1'!$A$16:$P$27,'Task 1'!P$14,FALSE)</f>
        <v>1</v>
      </c>
      <c r="Q10">
        <f>VLOOKUP($A10,'Task 2'!$A$2:$J$12,10,FALSE)</f>
        <v>0</v>
      </c>
      <c r="R10">
        <f>VLOOKUP($A10,'Task 3'!$A$2:$J$12,10,FALSE)</f>
        <v>0</v>
      </c>
      <c r="S10">
        <f>VLOOKUP($A10,'Task 1'!$A$16:$V$27,17,FALSE)</f>
        <v>14</v>
      </c>
      <c r="T10">
        <f>VLOOKUP($A10,'Task 1'!$A$16:$V$27,18,FALSE)</f>
        <v>63</v>
      </c>
      <c r="U10" s="28">
        <f>VLOOKUP($A10,'Task 1'!$A$16:$V$27,19,FALSE)</f>
        <v>0.75</v>
      </c>
      <c r="V10" s="63">
        <f>VLOOKUP($A10,'Task 1'!$A$16:$W$27,23,FALSE)</f>
        <v>0.25</v>
      </c>
      <c r="W10" t="str">
        <f>IF(VLOOKUP($A10,'Task 1'!$A$2:$P$13,'Task 1'!C$14,FALSE)="","",VLOOKUP($A10,'Task 1'!$A$2:$P$13,'Task 1'!C$14,FALSE))</f>
        <v>It's a helpful assistant that can interact with a computer to solve tasks.</v>
      </c>
      <c r="X10" t="str">
        <f>IF(VLOOKUP($A10,'Task 1'!$A$2:$P$13,'Task 1'!D$14,FALSE)="","",VLOOKUP($A10,'Task 1'!$A$2:$P$13,'Task 1'!D$14,FALSE))</f>
        <v>No, the task was not completed.</v>
      </c>
      <c r="Y10" t="str">
        <f>IF(VLOOKUP($A10,'Task 1'!$A$2:$P$13,'Task 1'!E$14,FALSE)="","",VLOOKUP($A10,'Task 1'!$A$2:$P$13,'Task 1'!E$14,FALSE))</f>
        <v>ls, cat, str_replace_editor, python3</v>
      </c>
      <c r="Z10" t="str">
        <f>IF(VLOOKUP($A10,'Task 1'!$A$2:$P$13,'Task 1'!F$14,FALSE)="","",VLOOKUP($A10,'Task 1'!$A$2:$P$13,'Task 1'!F$14,FALSE))</f>
        <v>cat</v>
      </c>
      <c r="AA10" t="str">
        <f>IF(VLOOKUP($A10,'Task 1'!$A$2:$P$13,'Task 1'!G$14,FALSE)="","",VLOOKUP($A10,'Task 1'!$A$2:$P$13,'Task 1'!G$14,FALSE))</f>
        <v>IndentationError: expected an indented block after function definition on line 40</v>
      </c>
      <c r="AB10" t="str">
        <f>IF(VLOOKUP($A10,'Task 1'!$A$2:$P$13,'Task 1'!H$14,FALSE)="","",VLOOKUP($A10,'Task 1'!$A$2:$P$13,'Task 1'!H$14,FALSE))</f>
        <v>The agent calls ls /finance_tracker/finance_tracker three times in succession, resulting in WARNING</v>
      </c>
      <c r="AC10" t="str">
        <f>IF(VLOOKUP($A10,'Task 1'!$A$2:$P$13,'Task 1'!I$14,FALSE)="","",VLOOKUP($A10,'Task 1'!$A$2:$P$13,'Task 1'!I$14,FALSE))</f>
        <v>str_replace_editor str_replace /finance_tracker/finance_tracker/cli.py   --old_str 'from finance_tracker.reports import FinancialReport' --new_str 'from finance_tracker.reports import FinancialReport</v>
      </c>
      <c r="AD10" t="str">
        <f>IF(VLOOKUP($A10,'Task 1'!$A$2:$P$13,'Task 1'!J$14,FALSE)="","",VLOOKUP($A10,'Task 1'!$A$2:$P$13,'Task 1'!J$14,FALSE))</f>
        <v xml:space="preserve">/finance_tracker/finance_tracker/cli.py </v>
      </c>
      <c r="AE10" t="str">
        <f>IF(VLOOKUP($A10,'Task 1'!$A$2:$P$13,'Task 1'!K$14,FALSE)="","",VLOOKUP($A10,'Task 1'!$A$2:$P$13,'Task 1'!K$14,FALSE))</f>
        <v>OBSERVATION:
Traceback (most recent call last):
  File "/finance_tracker/finance_tracker/tests/test_income.py", line 5, in &lt;module&gt;
    from finance_tracker.reports import FinancialReport
  File "/finance_tracker/finance_tracker/reports.py", line 5, in &lt;module&gt;
    import pandas as pd
ModuleNotFoundError: No module named 'pandas'
pip install pandas</v>
      </c>
      <c r="AF10" t="str">
        <f>IF(VLOOKUP($A10,'Task 1'!$A$2:$P$13,'Task 1'!L$14,FALSE)="","",VLOOKUP($A10,'Task 1'!$A$2:$P$13,'Task 1'!L$14,FALSE))</f>
        <v xml:space="preserve">pandas, matplotlib, </v>
      </c>
      <c r="AG10" t="str">
        <f>IF(VLOOKUP($A10,'Task 1'!$A$2:$P$13,'Task 1'!M$14,FALSE)="","",VLOOKUP($A10,'Task 1'!$A$2:$P$13,'Task 1'!M$14,FALSE))</f>
        <v>OBSERVATION: Traceback (most recent call last):   File "/finance_tracker/finance_tracker/tests/test_income.py", line 7, in &lt;module&gt;     from finance_tracker.cli import FinanceTrackerCLI   File "/finance_tracker/finance_tracker/cli.py", line 41     def do_generate_income_report(self, arg):     ^ IndentationError: expected an indented block after function definition on line 40</v>
      </c>
      <c r="AH10" t="str">
        <f>IF(VLOOKUP($A10,'Task 1'!$A$2:$P$13,'Task 1'!N$14,FALSE)="","",VLOOKUP($A10,'Task 1'!$A$2:$P$13,'Task 1'!N$14,FALSE))</f>
        <v>/finance_tracker/finance_tracker/cli.py</v>
      </c>
      <c r="AI10" t="str">
        <f>IF(VLOOKUP($A10,'Task 1'!$A$2:$P$13,'Task 1'!O$14,FALSE)="","",VLOOKUP($A10,'Task 1'!$A$2:$P$13,'Task 1'!O$14,FALSE))</f>
        <v>str_replace_editor str_replace /finance_tracker/finance_tracker/cli.py   --old_str '    def do_generate_income_report(self, arg):' --new_str '    def do_generate_income_report(self, arg):
        """Generate an income report: generate_income_report [start_date] [end_date]"""
        if not self.current_user:
            print("Please login first")
            return
        args = arg.split()
        start_date = args[0] if len(args) &gt; 0 else None
        end_date = args[1] if len(args) &gt; 1 else None
        try:
            report_data = self.income_tracker.generate_income_summary(start_date, end_date)
            print(json.dumps(report_data, indent=2))
        except Exception as e:
            print(f"Error: {e}")
'</v>
      </c>
      <c r="AJ10" t="str">
        <f>IF(VLOOKUP($A10,'Task 1'!$A$2:$P$13,'Task 1'!P$14,FALSE)="","",VLOOKUP($A10,'Task 1'!$A$2:$P$13,'Task 1'!P$14,FALSE))</f>
        <v>They are the exact same change</v>
      </c>
      <c r="AK10" t="str">
        <f>IF(VLOOKUP($A10,Form_Responses8[[Participant Key]:[Find and describe all potential bugs!]],3,FALSE)="","",VLOOKUP($A10,Form_Responses8[[Participant Key]:[Find and describe all potential bugs!]],3,FALSE))</f>
        <v>I do not see an fatal bug but continued warning of repetition detected! with repeated write_fix seems concerning. The core should give more drastic guidance or the warning is not effective.</v>
      </c>
      <c r="AL10" t="str">
        <f>IF(VLOOKUP($A10,Form_Responses6[[Participant Key]:[Find and describe all potential bugs!]],3,FALSE)="","",VLOOKUP($A10,Form_Responses6[[Participant Key]:[Find and describe all potential bugs!]],3,FALSE))</f>
        <v>I don't see any obvious problem with agent's logic.</v>
      </c>
      <c r="AM10" cm="1">
        <f t="array" ref="AM10">INDEX('Task 1'!$B$30:$B$43,COLUMN(A9))</f>
        <v>3</v>
      </c>
      <c r="AN10" cm="1">
        <f t="array" ref="AN10">INDEX('Task 1'!$B$30:$B$43,COLUMN(B9))</f>
        <v>1</v>
      </c>
      <c r="AO10" cm="1">
        <f t="array" ref="AO10">INDEX('Task 1'!$B$30:$B$43,COLUMN(C9))</f>
        <v>2</v>
      </c>
      <c r="AP10" cm="1">
        <f t="array" ref="AP10">INDEX('Task 1'!$B$30:$B$43,COLUMN(D9))</f>
        <v>1</v>
      </c>
      <c r="AQ10" cm="1">
        <f t="array" ref="AQ10">INDEX('Task 1'!$B$30:$B$43,COLUMN(E9))</f>
        <v>1</v>
      </c>
      <c r="AR10" cm="1">
        <f t="array" ref="AR10">INDEX('Task 1'!$B$30:$B$43,COLUMN(F9))</f>
        <v>2</v>
      </c>
      <c r="AS10" cm="1">
        <f t="array" ref="AS10">INDEX('Task 1'!$B$30:$B$43,COLUMN(G9))</f>
        <v>1</v>
      </c>
      <c r="AT10" cm="1">
        <f t="array" ref="AT10">INDEX('Task 1'!$B$30:$B$43,COLUMN(H9))</f>
        <v>2</v>
      </c>
      <c r="AU10" cm="1">
        <f t="array" ref="AU10">INDEX('Task 1'!$B$30:$B$43,COLUMN(I9))</f>
        <v>2</v>
      </c>
      <c r="AV10" cm="1">
        <f t="array" ref="AV10">INDEX('Task 1'!$B$30:$B$43,COLUMN(J9))</f>
        <v>1</v>
      </c>
      <c r="AW10" cm="1">
        <f t="array" ref="AW10">INDEX('Task 1'!$B$30:$B$43,COLUMN(K9))</f>
        <v>1</v>
      </c>
      <c r="AX10" cm="1">
        <f t="array" ref="AX10">INDEX('Task 1'!$B$30:$B$43,COLUMN(L9))</f>
        <v>1</v>
      </c>
      <c r="AY10" cm="1">
        <f t="array" ref="AY10">INDEX('Task 1'!$B$30:$B$43,COLUMN(M9))</f>
        <v>1</v>
      </c>
      <c r="AZ10" cm="1">
        <f t="array" ref="AZ10">INDEX('Task 1'!$B$30:$B$43,COLUMN(N9))</f>
        <v>2</v>
      </c>
      <c r="BA10">
        <v>1</v>
      </c>
      <c r="BB10">
        <v>1</v>
      </c>
      <c r="BC10">
        <f>'Task 1'!$B$45</f>
        <v>21</v>
      </c>
      <c r="BD10">
        <f>'Task 1'!$D$45</f>
        <v>84</v>
      </c>
    </row>
    <row r="11" spans="1:56" x14ac:dyDescent="0.15">
      <c r="A11" s="38" t="str">
        <f>'Task 1'!A57</f>
        <v>bdf7</v>
      </c>
      <c r="B11" t="str">
        <f>VLOOKUP(A11,'Task 1'!A$48:B$59,2,FALSE)</f>
        <v>A</v>
      </c>
      <c r="C11">
        <f>VLOOKUP($A11,'Task 1'!$A$16:$P$27,'Task 1'!C$14,FALSE)</f>
        <v>0</v>
      </c>
      <c r="D11">
        <f>VLOOKUP($A11,'Task 1'!$A$16:$P$27,'Task 1'!D$14,FALSE)</f>
        <v>1</v>
      </c>
      <c r="E11">
        <f>VLOOKUP($A11,'Task 1'!$A$16:$P$27,'Task 1'!E$14,FALSE)</f>
        <v>2</v>
      </c>
      <c r="F11">
        <f>VLOOKUP($A11,'Task 1'!$A$16:$P$27,'Task 1'!F$14,FALSE)</f>
        <v>1</v>
      </c>
      <c r="G11">
        <f>VLOOKUP($A11,'Task 1'!$A$16:$P$27,'Task 1'!G$14,FALSE)</f>
        <v>0</v>
      </c>
      <c r="H11">
        <f>VLOOKUP($A11,'Task 1'!$A$16:$P$27,'Task 1'!H$14,FALSE)</f>
        <v>0</v>
      </c>
      <c r="I11">
        <f>VLOOKUP($A11,'Task 1'!$A$16:$P$27,'Task 1'!I$14,FALSE)</f>
        <v>0</v>
      </c>
      <c r="J11">
        <f>VLOOKUP($A11,'Task 1'!$A$16:$P$27,'Task 1'!J$14,FALSE)</f>
        <v>0</v>
      </c>
      <c r="K11">
        <f>VLOOKUP($A11,'Task 1'!$A$16:$P$27,'Task 1'!K$14,FALSE)</f>
        <v>0</v>
      </c>
      <c r="L11">
        <f>VLOOKUP($A11,'Task 1'!$A$16:$P$27,'Task 1'!L$14,FALSE)</f>
        <v>0</v>
      </c>
      <c r="M11">
        <f>VLOOKUP($A11,'Task 1'!$A$16:$P$27,'Task 1'!M$14,FALSE)</f>
        <v>0</v>
      </c>
      <c r="N11">
        <f>VLOOKUP($A11,'Task 1'!$A$16:$P$27,'Task 1'!N$14,FALSE)</f>
        <v>0</v>
      </c>
      <c r="O11">
        <f>VLOOKUP($A11,'Task 1'!$A$16:$P$27,'Task 1'!O$14,FALSE)</f>
        <v>0</v>
      </c>
      <c r="P11">
        <f>VLOOKUP($A11,'Task 1'!$A$16:$P$27,'Task 1'!P$14,FALSE)</f>
        <v>0</v>
      </c>
      <c r="Q11">
        <f>VLOOKUP($A11,'Task 2'!$A$2:$J$12,10,FALSE)</f>
        <v>1</v>
      </c>
      <c r="R11">
        <f>VLOOKUP($A11,'Task 3'!$A$2:$J$12,10,FALSE)</f>
        <v>0</v>
      </c>
      <c r="S11">
        <f>VLOOKUP($A11,'Task 1'!$A$16:$V$27,17,FALSE)</f>
        <v>4</v>
      </c>
      <c r="T11">
        <f>VLOOKUP($A11,'Task 1'!$A$16:$V$27,18,FALSE)</f>
        <v>18</v>
      </c>
      <c r="U11" s="28">
        <f>VLOOKUP($A11,'Task 1'!$A$16:$V$27,19,FALSE)</f>
        <v>0.21428571428571427</v>
      </c>
      <c r="V11" s="63">
        <f>VLOOKUP($A11,'Task 1'!$A$16:$W$27,23,FALSE)</f>
        <v>0.83333333333333337</v>
      </c>
      <c r="W11" t="str">
        <f>IF(VLOOKUP($A11,'Task 1'!$A$2:$P$13,'Task 1'!C$14,FALSE)="","",VLOOKUP($A11,'Task 1'!$A$2:$P$13,'Task 1'!C$14,FALSE))</f>
        <v>The agent's goal is to implement an finance tracker application by creating and testing the required functionalities.</v>
      </c>
      <c r="X11" t="str">
        <f>IF(VLOOKUP($A11,'Task 1'!$A$2:$P$13,'Task 1'!D$14,FALSE)="","",VLOOKUP($A11,'Task 1'!$A$2:$P$13,'Task 1'!D$14,FALSE))</f>
        <v>No, the task was not completed.</v>
      </c>
      <c r="Y11" t="str">
        <f>IF(VLOOKUP($A11,'Task 1'!$A$2:$P$13,'Task 1'!E$14,FALSE)="","",VLOOKUP($A11,'Task 1'!$A$2:$P$13,'Task 1'!E$14,FALSE))</f>
        <v>Read content, Implement code, Test code, and fix code</v>
      </c>
      <c r="Z11" t="str">
        <f>IF(VLOOKUP($A11,'Task 1'!$A$2:$P$13,'Task 1'!F$14,FALSE)="","",VLOOKUP($A11,'Task 1'!$A$2:$P$13,'Task 1'!F$14,FALSE))</f>
        <v>Fix code</v>
      </c>
      <c r="AA11" t="str">
        <f>IF(VLOOKUP($A11,'Task 1'!$A$2:$P$13,'Task 1'!G$14,FALSE)="","",VLOOKUP($A11,'Task 1'!$A$2:$P$13,'Task 1'!G$14,FALSE))</f>
        <v>The agent has trouble implementing a correct version of the income tracker</v>
      </c>
      <c r="AB11" t="str">
        <f>IF(VLOOKUP($A11,'Task 1'!$A$2:$P$13,'Task 1'!H$14,FALSE)="","",VLOOKUP($A11,'Task 1'!$A$2:$P$13,'Task 1'!H$14,FALSE))</f>
        <v>Create the `IncomeTracker` class in `income.py` and update related files in the `finance_tracker` directory to incorporate income tracking features as outlined in the PR description.</v>
      </c>
      <c r="AC11" t="str">
        <f>IF(VLOOKUP($A11,'Task 1'!$A$2:$P$13,'Task 1'!I$14,FALSE)="","",VLOOKUP($A11,'Task 1'!$A$2:$P$13,'Task 1'!I$14,FALSE))</f>
        <v>The file /finance_tracker/finance_tracker/cli.py has been edited. Here's the result of running `cat -n` on a snippet of /finance_tracker/finance_tracker/cli.py:
The file /finance_tracker/finance_tracker/reports.py has been edited. Here's the result of running `cat -n` on a snippet of /finance_tracker/finance_tracker/reports.py:
     1	import cmd
    32	            "period": f"{start_date or 'all'} to {end_date or 'all'}",
     2	import argparse
    33	            "category_totals": categories,
     3	from finance_tracker.expenses import ExpenseTracker
    34	            "total": sum(categories.values())
     4	from finance_tracker.budgets import BudgetManager
    35	        }
     5	from finance_tracker.users import UserManager
    36	
     6	from finance_tracker.reports import FinancialReport
    37	    def generate_income_summary(self, start_date: str = None, end_date: str = None) -&gt; Dict:
     7	from finance_tracker.income import IncomeTracker
    38	        """Generate a summary of income by category."""
     8	from datetime import datetime
    39	        incomes = self.income_tracker.incomes
     9	
    40	        if start_date and end_date:
    10	class FinanceTrackerCLI(cmd.Cmd):
    41	            incomes = [inc for inc in incomes if start_date &lt;= inc.date &lt;= end_date]
    42	        categories = {}
    43	        for inc in incomes:
    44	            cat = inc.category
    45	            categories[cat] = categories.get(cat, 0.0) + inc.amount
    46	        return {
    47	            "user_id": self.user_id,
    48	            "period": f"{start_date or 'all'} to {end_date or 'all'}",
    49	            "category_totals": categories,
    50	            "total": sum(categories.values())
    51	        }
    52	
    53	    def generate_budget_comparison(self, period: str = "monthly") -&gt; List[Dict]:
    54	        """Compare spending against budgets."""
    55	        budgets = self.budget_manager.get_all_budgets()
    56	        comparison = []
Review the changes and make sure they are as expected. Edit the file again if necessary.
Review the changes and make sure they are as expected. Edit the file again if necessary.</v>
      </c>
      <c r="AD11" t="str">
        <f>IF(VLOOKUP($A11,'Task 1'!$A$2:$P$13,'Task 1'!J$14,FALSE)="","",VLOOKUP($A11,'Task 1'!$A$2:$P$13,'Task 1'!J$14,FALSE))</f>
        <v>cli.py</v>
      </c>
      <c r="AE11" t="str">
        <f>IF(VLOOKUP($A11,'Task 1'!$A$2:$P$13,'Task 1'!K$14,FALSE)="","",VLOOKUP($A11,'Task 1'!$A$2:$P$13,'Task 1'!K$14,FALSE))</f>
        <v>IndentationError</v>
      </c>
      <c r="AF11" t="str">
        <f>IF(VLOOKUP($A11,'Task 1'!$A$2:$P$13,'Task 1'!L$14,FALSE)="","",VLOOKUP($A11,'Task 1'!$A$2:$P$13,'Task 1'!L$14,FALSE))</f>
        <v>matplotlib</v>
      </c>
      <c r="AG11" t="str">
        <f>IF(VLOOKUP($A11,'Task 1'!$A$2:$P$13,'Task 1'!M$14,FALSE)="","",VLOOKUP($A11,'Task 1'!$A$2:$P$13,'Task 1'!M$14,FALSE))</f>
        <v/>
      </c>
      <c r="AH11" t="str">
        <f>IF(VLOOKUP($A11,'Task 1'!$A$2:$P$13,'Task 1'!N$14,FALSE)="","",VLOOKUP($A11,'Task 1'!$A$2:$P$13,'Task 1'!N$14,FALSE))</f>
        <v/>
      </c>
      <c r="AI11" t="str">
        <f>IF(VLOOKUP($A11,'Task 1'!$A$2:$P$13,'Task 1'!O$14,FALSE)="","",VLOOKUP($A11,'Task 1'!$A$2:$P$13,'Task 1'!O$14,FALSE))</f>
        <v/>
      </c>
      <c r="AJ11" t="str">
        <f>IF(VLOOKUP($A11,'Task 1'!$A$2:$P$13,'Task 1'!P$14,FALSE)="","",VLOOKUP($A11,'Task 1'!$A$2:$P$13,'Task 1'!P$14,FALSE))</f>
        <v/>
      </c>
      <c r="AK11" t="str">
        <f>IF(VLOOKUP($A11,Form_Responses8[[Participant Key]:[Find and describe all potential bugs!]],3,FALSE)="","",VLOOKUP($A11,Form_Responses8[[Participant Key]:[Find and describe all potential bugs!]],3,FALSE))</f>
        <v>The agent calls the write_fix tool to fix the problem but nothing is changed</v>
      </c>
      <c r="AL11" t="str">
        <f>IF(VLOOKUP($A11,Form_Responses6[[Participant Key]:[Find and describe all potential bugs!]],3,FALSE)="","",VLOOKUP($A11,Form_Responses6[[Participant Key]:[Find and describe all potential bugs!]],3,FALSE))</f>
        <v>The agent executes commands that are not available or allowed</v>
      </c>
      <c r="AM11" cm="1">
        <f t="array" ref="AM11">INDEX('Task 1'!$B$30:$B$43,COLUMN(A10))</f>
        <v>3</v>
      </c>
      <c r="AN11" cm="1">
        <f t="array" ref="AN11">INDEX('Task 1'!$B$30:$B$43,COLUMN(B10))</f>
        <v>1</v>
      </c>
      <c r="AO11" cm="1">
        <f t="array" ref="AO11">INDEX('Task 1'!$B$30:$B$43,COLUMN(C10))</f>
        <v>2</v>
      </c>
      <c r="AP11" cm="1">
        <f t="array" ref="AP11">INDEX('Task 1'!$B$30:$B$43,COLUMN(D10))</f>
        <v>1</v>
      </c>
      <c r="AQ11" cm="1">
        <f t="array" ref="AQ11">INDEX('Task 1'!$B$30:$B$43,COLUMN(E10))</f>
        <v>1</v>
      </c>
      <c r="AR11" cm="1">
        <f t="array" ref="AR11">INDEX('Task 1'!$B$30:$B$43,COLUMN(F10))</f>
        <v>2</v>
      </c>
      <c r="AS11" cm="1">
        <f t="array" ref="AS11">INDEX('Task 1'!$B$30:$B$43,COLUMN(G10))</f>
        <v>1</v>
      </c>
      <c r="AT11" cm="1">
        <f t="array" ref="AT11">INDEX('Task 1'!$B$30:$B$43,COLUMN(H10))</f>
        <v>2</v>
      </c>
      <c r="AU11" cm="1">
        <f t="array" ref="AU11">INDEX('Task 1'!$B$30:$B$43,COLUMN(I10))</f>
        <v>2</v>
      </c>
      <c r="AV11" cm="1">
        <f t="array" ref="AV11">INDEX('Task 1'!$B$30:$B$43,COLUMN(J10))</f>
        <v>1</v>
      </c>
      <c r="AW11" cm="1">
        <f t="array" ref="AW11">INDEX('Task 1'!$B$30:$B$43,COLUMN(K10))</f>
        <v>1</v>
      </c>
      <c r="AX11" cm="1">
        <f t="array" ref="AX11">INDEX('Task 1'!$B$30:$B$43,COLUMN(L10))</f>
        <v>1</v>
      </c>
      <c r="AY11" cm="1">
        <f t="array" ref="AY11">INDEX('Task 1'!$B$30:$B$43,COLUMN(M10))</f>
        <v>1</v>
      </c>
      <c r="AZ11" cm="1">
        <f t="array" ref="AZ11">INDEX('Task 1'!$B$30:$B$43,COLUMN(N10))</f>
        <v>2</v>
      </c>
      <c r="BA11">
        <v>1</v>
      </c>
      <c r="BB11">
        <v>1</v>
      </c>
      <c r="BC11">
        <f>'Task 1'!$B$45</f>
        <v>21</v>
      </c>
      <c r="BD11">
        <f>'Task 1'!$D$45</f>
        <v>84</v>
      </c>
    </row>
    <row r="12" spans="1:56" x14ac:dyDescent="0.15">
      <c r="A12" s="38" t="str">
        <f>'Task 1'!A58</f>
        <v>18e7</v>
      </c>
      <c r="B12" t="str">
        <f>VLOOKUP(A12,'Task 1'!A$48:B$59,2,FALSE)</f>
        <v>A</v>
      </c>
      <c r="C12">
        <f>VLOOKUP($A12,'Task 1'!$A$16:$P$27,'Task 1'!C$14,FALSE)</f>
        <v>2</v>
      </c>
      <c r="D12">
        <f>VLOOKUP($A12,'Task 1'!$A$16:$P$27,'Task 1'!D$14,FALSE)</f>
        <v>0</v>
      </c>
      <c r="E12">
        <f>VLOOKUP($A12,'Task 1'!$A$16:$P$27,'Task 1'!E$14,FALSE)</f>
        <v>2</v>
      </c>
      <c r="F12">
        <f>VLOOKUP($A12,'Task 1'!$A$16:$P$27,'Task 1'!F$14,FALSE)</f>
        <v>1</v>
      </c>
      <c r="G12">
        <f>VLOOKUP($A12,'Task 1'!$A$16:$P$27,'Task 1'!G$14,FALSE)</f>
        <v>1</v>
      </c>
      <c r="H12">
        <f>VLOOKUP($A12,'Task 1'!$A$16:$P$27,'Task 1'!H$14,FALSE)</f>
        <v>2</v>
      </c>
      <c r="I12">
        <f>VLOOKUP($A12,'Task 1'!$A$16:$P$27,'Task 1'!I$14,FALSE)</f>
        <v>0</v>
      </c>
      <c r="J12">
        <f>VLOOKUP($A12,'Task 1'!$A$16:$P$27,'Task 1'!J$14,FALSE)</f>
        <v>1</v>
      </c>
      <c r="K12">
        <f>VLOOKUP($A12,'Task 1'!$A$16:$P$27,'Task 1'!K$14,FALSE)</f>
        <v>2</v>
      </c>
      <c r="L12">
        <f>VLOOKUP($A12,'Task 1'!$A$16:$P$27,'Task 1'!L$14,FALSE)</f>
        <v>1</v>
      </c>
      <c r="M12">
        <f>VLOOKUP($A12,'Task 1'!$A$16:$P$27,'Task 1'!M$14,FALSE)</f>
        <v>1</v>
      </c>
      <c r="N12">
        <f>VLOOKUP($A12,'Task 1'!$A$16:$P$27,'Task 1'!N$14,FALSE)</f>
        <v>1</v>
      </c>
      <c r="O12">
        <f>VLOOKUP($A12,'Task 1'!$A$16:$P$27,'Task 1'!O$14,FALSE)</f>
        <v>0</v>
      </c>
      <c r="P12">
        <f>VLOOKUP($A12,'Task 1'!$A$16:$P$27,'Task 1'!P$14,FALSE)</f>
        <v>1</v>
      </c>
      <c r="Q12" t="e">
        <f>VLOOKUP($A12,'Task 2'!$A$2:$J$12,10,FALSE)</f>
        <v>#N/A</v>
      </c>
      <c r="R12" t="e">
        <f>VLOOKUP($A12,'Task 3'!$A$2:$J$12,10,FALSE)</f>
        <v>#N/A</v>
      </c>
      <c r="S12">
        <f>VLOOKUP($A12,'Task 1'!$A$16:$V$27,17,FALSE)</f>
        <v>15</v>
      </c>
      <c r="T12">
        <f>VLOOKUP($A12,'Task 1'!$A$16:$V$27,18,FALSE)</f>
        <v>58</v>
      </c>
      <c r="U12" s="28">
        <f>VLOOKUP($A12,'Task 1'!$A$16:$V$27,19,FALSE)</f>
        <v>0.69047619047619047</v>
      </c>
      <c r="V12" s="63">
        <f>VLOOKUP($A12,'Task 1'!$A$16:$W$27,23,FALSE)</f>
        <v>0.33333333333333331</v>
      </c>
      <c r="W12" t="str">
        <f>IF(VLOOKUP($A12,'Task 1'!$A$2:$P$13,'Task 1'!C$14,FALSE)="","",VLOOKUP($A12,'Task 1'!$A$2:$P$13,'Task 1'!C$14,FALSE))</f>
        <v>The agent goal is to implement new feature or new function-ality- that was described in the PR specifically the income tracking feature for a finance tracker project.</v>
      </c>
      <c r="X12" t="str">
        <f>IF(VLOOKUP($A12,'Task 1'!$A$2:$P$13,'Task 1'!D$14,FALSE)="","",VLOOKUP($A12,'Task 1'!$A$2:$P$13,'Task 1'!D$14,FALSE))</f>
        <v>Yes, the task was completed successfully.</v>
      </c>
      <c r="Y12" t="str">
        <f>IF(VLOOKUP($A12,'Task 1'!$A$2:$P$13,'Task 1'!E$14,FALSE)="","",VLOOKUP($A12,'Task 1'!$A$2:$P$13,'Task 1'!E$14,FALSE))</f>
        <v>File editing, File listing, Executing commands such as execute script and install package</v>
      </c>
      <c r="Z12" t="str">
        <f>IF(VLOOKUP($A12,'Task 1'!$A$2:$P$13,'Task 1'!F$14,FALSE)="","",VLOOKUP($A12,'Task 1'!$A$2:$P$13,'Task 1'!F$14,FALSE))</f>
        <v>File editing</v>
      </c>
      <c r="AA12" t="str">
        <f>IF(VLOOKUP($A12,'Task 1'!$A$2:$P$13,'Task 1'!G$14,FALSE)="","",VLOOKUP($A12,'Task 1'!$A$2:$P$13,'Task 1'!G$14,FALSE))</f>
        <v>Correctly editing the file? as there are many indentation errors…</v>
      </c>
      <c r="AB12" t="str">
        <f>IF(VLOOKUP($A12,'Task 1'!$A$2:$P$13,'Task 1'!H$14,FALSE)="","",VLOOKUP($A12,'Task 1'!$A$2:$P$13,'Task 1'!H$14,FALSE))</f>
        <v>Yes there was some repetition, e.g, repeated listing of files at the start</v>
      </c>
      <c r="AC12" t="str">
        <f>IF(VLOOKUP($A12,'Task 1'!$A$2:$P$13,'Task 1'!I$14,FALSE)="","",VLOOKUP($A12,'Task 1'!$A$2:$P$13,'Task 1'!I$14,FALSE))</f>
        <v>1
import cmd
2
import argparse
3
from finance_tracker.expenses import ExpenseTracker
4
from finance_tracker.budgets import BudgetManager
5
from finance_tracker.users import UserManager
6
from finance_tracker.reports import FinancialReport
7
from finance_tracker.income import IncomeTracker
8
from datetime import datetime
9
10
class FinanceTrackerCLI(cmd.Cmd):
11
    """Command-line interface for the finance tracker."""
12
    prompt = "FinanceTracker&gt; "
13
    intro = "Welcome to the Personal Finance Tracker. Type 'help' for commands."
14
15
    def __init__(self):
16
        super().__init__()
17
        self.user_manager = UserManager()
18
        self.current_user = None
19
        self.expense_tracker = None
20
        self.budget_manager = None
21
        self.report_generator = None
22
23
    def do_login(self, arg):
24
        """Login to the system: login &lt;username&gt; &lt;password&gt;"""
25
        args = arg.split()
26
        if len(args) != 2:
27
            print("Usage: login &lt;username&gt; &lt;password&gt;")
28
            return
29
        username, password = args
30
        if self.user_manager.authenticate_user(username, password):
31
            self.current_user = username
32
            self.expense_tracker = ExpenseTracker(username)
33
            self.budget_manager = BudgetManager(username)
34
            self.report_generator = FinancialReport(username, self.expense_tracker, self.budget_manager)
35
            print(f"Logged in as {username}")
36
        else:
37
            print("Invalid username or password")
38
39
    def do_register(self, arg):
40
        """Register a new user: register &lt;username&gt; &lt;password&gt; &lt;email&gt;"""
41
        args = arg.split()
42
        if len(args) != 3:
43
            print("Usage: register &lt;username&gt; &lt;password&gt; &lt;email&gt;")
44
            return
45
        try:
46
            self.user_manager.register_user(*args)
47
            print(f"User {args[0]} registered successfully")
48
        except ValueError as e:
49
            print(f"Error: {e}")
50
51
    def do_add_expense(self, arg):
52
        """Add an expense: add_expense &lt;amount&gt; &lt;category&gt; &lt;description&gt; [tags] [recurring] [period]"""
53
        if not self.current_user:
54
            print("Please login first")
55
            return
56
        args = arg.split()
57
        if len(args) &lt; 3:
58
            print("Usage: add_expense &lt;amount&gt; &lt;category&gt; &lt;description&gt; [tags] [recurring] [period]")
59
            return
60
        amount, category, description = args[:3]
61
        tags = args[3].split(",") if len(args) &gt; 3 else []
62
        is_recurring = args[4].lower() == "true" if len(args) &gt; 4 else False
63
        period = args[5] if len(args) &gt; 5 else None
64
        try:
65
            expense_id = self.expense_tracker.add_expense(float(amount), category, description, 
66
                                                         tags=tags, is_recurring=is_recurring, 
67
                                                         recurrence_period=period)
68
            print(f"Expense added with ID: {expense_id}")
69
        except ValueError as e:
70
            print(f"Error: {e}")
71
72
    def do_set_budget(self, arg):
73
        """Set a budget: set_budget &lt;category&gt; &lt;amount&gt; [period] [alert_threshold]"""
74
        if not self.current_user:
75
            print("Please login first")
76
            return
77
        args = arg.split()
78
        if len(args) &lt; 2:
79
            print("Usage: set_budget &lt;category&gt; &lt;amount&gt; [period] [alert_threshold]")
80
            return
81
        category, amount = args[:2]
82
        period = args[2] if len(args) &gt; 2 else "monthly"
83
        alert_threshold = float(args[3]) if len(args) &gt; 3 else 0.8
84
        try:
85
            self.budget_manager.set_budget(category, float(amount), period, alert_threshold)
86
            print(f"Budget set for {category} ({period})")
87
        except ValueError as e:
88
            print(f"Error: {e}")
89
90
    def do_generate_report(self, arg):
91
        """Generate a report: generate_report &lt;type&gt; [start_date] [end_date]"""
92
        if not self.current_user:
93
            print("Please login first")
94
            return
95
        args = arg.split()
96
        if len(args) &lt; 1:
97
            print("Usage: generate_report &lt;type&gt; [start_date] [end_date]")
98
            return
99
        report_type = args[0]
100
        start_date = args[1] if len(args) &gt; 1 else None
101
        end_date = args[2] if len(args) &gt; 2 else None
102
        try:
103
            report_file = self.report_generator.generate_report_pdf(report_type, start_date, end_date)
104
            print(f"Report generated: {report_file}")
105
        except Exception as e:
106
            print(f"Error: {e}")
107
108
    def do_exit(self, arg):
109
        """Exit the CLI."""
110
        print("Goodbye!")
111
        return True
112
113
    def preloop(self):
114
        """Initialize CLI state."""
115
        print("Personal Finance Tracker CLI. Type 'register' or 'login' to begin.")</v>
      </c>
      <c r="AD12" t="str">
        <f>IF(VLOOKUP($A12,'Task 1'!$A$2:$P$13,'Task 1'!J$14,FALSE)="","",VLOOKUP($A12,'Task 1'!$A$2:$P$13,'Task 1'!J$14,FALSE))</f>
        <v xml:space="preserve">income.py, expenses.py, reports.py, cli.py, README, </v>
      </c>
      <c r="AE12" t="str">
        <f>IF(VLOOKUP($A12,'Task 1'!$A$2:$P$13,'Task 1'!K$14,FALSE)="","",VLOOKUP($A12,'Task 1'!$A$2:$P$13,'Task 1'!K$14,FALSE))</f>
        <v>Missing module pandas, the agent fixes it by installing the package</v>
      </c>
      <c r="AF12" t="str">
        <f>IF(VLOOKUP($A12,'Task 1'!$A$2:$P$13,'Task 1'!L$14,FALSE)="","",VLOOKUP($A12,'Task 1'!$A$2:$P$13,'Task 1'!L$14,FALSE))</f>
        <v>pandas, matplotlib</v>
      </c>
      <c r="AG12" t="str">
        <f>IF(VLOOKUP($A12,'Task 1'!$A$2:$P$13,'Task 1'!M$14,FALSE)="","",VLOOKUP($A12,'Task 1'!$A$2:$P$13,'Task 1'!M$14,FALSE))</f>
        <v>Error indicating indentation problems</v>
      </c>
      <c r="AH12" t="str">
        <f>IF(VLOOKUP($A12,'Task 1'!$A$2:$P$13,'Task 1'!N$14,FALSE)="","",VLOOKUP($A12,'Task 1'!$A$2:$P$13,'Task 1'!N$14,FALSE))</f>
        <v>cli.py</v>
      </c>
      <c r="AI12" t="str">
        <f>IF(VLOOKUP($A12,'Task 1'!$A$2:$P$13,'Task 1'!O$14,FALSE)="","",VLOOKUP($A12,'Task 1'!$A$2:$P$13,'Task 1'!O$14,FALSE))</f>
        <v>There is a replace old income report and old method generation before running tests but not sure if they count as same change twice. Otherwise No.</v>
      </c>
      <c r="AJ12" t="str">
        <f>IF(VLOOKUP($A12,'Task 1'!$A$2:$P$13,'Task 1'!P$14,FALSE)="","",VLOOKUP($A12,'Task 1'!$A$2:$P$13,'Task 1'!P$14,FALSE))</f>
        <v>From the diff comparison they look similar</v>
      </c>
      <c r="AK12" t="e">
        <f>IF(VLOOKUP($A12,Form_Responses8[[Participant Key]:[Find and describe all potential bugs!]],3,FALSE)="","",VLOOKUP($A12,Form_Responses8[[Participant Key]:[Find and describe all potential bugs!]],3,FALSE))</f>
        <v>#N/A</v>
      </c>
      <c r="AL12" t="e">
        <f>IF(VLOOKUP($A12,Form_Responses6[[Participant Key]:[Find and describe all potential bugs!]],3,FALSE)="","",VLOOKUP($A12,Form_Responses6[[Participant Key]:[Find and describe all potential bugs!]],3,FALSE))</f>
        <v>#N/A</v>
      </c>
      <c r="AM12" cm="1">
        <f t="array" ref="AM12">INDEX('Task 1'!$B$30:$B$43,COLUMN(A11))</f>
        <v>3</v>
      </c>
      <c r="AN12" cm="1">
        <f t="array" ref="AN12">INDEX('Task 1'!$B$30:$B$43,COLUMN(B11))</f>
        <v>1</v>
      </c>
      <c r="AO12" cm="1">
        <f t="array" ref="AO12">INDEX('Task 1'!$B$30:$B$43,COLUMN(C11))</f>
        <v>2</v>
      </c>
      <c r="AP12" cm="1">
        <f t="array" ref="AP12">INDEX('Task 1'!$B$30:$B$43,COLUMN(D11))</f>
        <v>1</v>
      </c>
      <c r="AQ12" cm="1">
        <f t="array" ref="AQ12">INDEX('Task 1'!$B$30:$B$43,COLUMN(E11))</f>
        <v>1</v>
      </c>
      <c r="AR12" cm="1">
        <f t="array" ref="AR12">INDEX('Task 1'!$B$30:$B$43,COLUMN(F11))</f>
        <v>2</v>
      </c>
      <c r="AS12" cm="1">
        <f t="array" ref="AS12">INDEX('Task 1'!$B$30:$B$43,COLUMN(G11))</f>
        <v>1</v>
      </c>
      <c r="AT12" cm="1">
        <f t="array" ref="AT12">INDEX('Task 1'!$B$30:$B$43,COLUMN(H11))</f>
        <v>2</v>
      </c>
      <c r="AU12" cm="1">
        <f t="array" ref="AU12">INDEX('Task 1'!$B$30:$B$43,COLUMN(I11))</f>
        <v>2</v>
      </c>
      <c r="AV12" cm="1">
        <f t="array" ref="AV12">INDEX('Task 1'!$B$30:$B$43,COLUMN(J11))</f>
        <v>1</v>
      </c>
      <c r="AW12" cm="1">
        <f t="array" ref="AW12">INDEX('Task 1'!$B$30:$B$43,COLUMN(K11))</f>
        <v>1</v>
      </c>
      <c r="AX12" cm="1">
        <f t="array" ref="AX12">INDEX('Task 1'!$B$30:$B$43,COLUMN(L11))</f>
        <v>1</v>
      </c>
      <c r="AY12" cm="1">
        <f t="array" ref="AY12">INDEX('Task 1'!$B$30:$B$43,COLUMN(M11))</f>
        <v>1</v>
      </c>
      <c r="AZ12" cm="1">
        <f t="array" ref="AZ12">INDEX('Task 1'!$B$30:$B$43,COLUMN(N11))</f>
        <v>2</v>
      </c>
      <c r="BA12">
        <v>1</v>
      </c>
      <c r="BB12">
        <v>1</v>
      </c>
      <c r="BC12">
        <f>'Task 1'!$B$45</f>
        <v>21</v>
      </c>
      <c r="BD12">
        <f>'Task 1'!$D$45</f>
        <v>84</v>
      </c>
    </row>
    <row r="13" spans="1:56" x14ac:dyDescent="0.15">
      <c r="A13" s="38" t="str">
        <f>'Task 1'!A59</f>
        <v>e43c</v>
      </c>
      <c r="B13" t="str">
        <f>VLOOKUP(A13,'Task 1'!A$48:B$59,2,FALSE)</f>
        <v>B</v>
      </c>
      <c r="C13">
        <f>VLOOKUP($A13,'Task 1'!$A$16:$P$27,'Task 1'!C$14,FALSE)</f>
        <v>1</v>
      </c>
      <c r="D13">
        <f>VLOOKUP($A13,'Task 1'!$A$16:$P$27,'Task 1'!D$14,FALSE)</f>
        <v>1</v>
      </c>
      <c r="E13">
        <f>VLOOKUP($A13,'Task 1'!$A$16:$P$27,'Task 1'!E$14,FALSE)</f>
        <v>2</v>
      </c>
      <c r="F13">
        <f>VLOOKUP($A13,'Task 1'!$A$16:$P$27,'Task 1'!F$14,FALSE)</f>
        <v>0</v>
      </c>
      <c r="G13">
        <f>VLOOKUP($A13,'Task 1'!$A$16:$P$27,'Task 1'!G$14,FALSE)</f>
        <v>1</v>
      </c>
      <c r="H13">
        <f>VLOOKUP($A13,'Task 1'!$A$16:$P$27,'Task 1'!H$14,FALSE)</f>
        <v>1</v>
      </c>
      <c r="I13">
        <f>VLOOKUP($A13,'Task 1'!$A$16:$P$27,'Task 1'!I$14,FALSE)</f>
        <v>1</v>
      </c>
      <c r="J13">
        <f>VLOOKUP($A13,'Task 1'!$A$16:$P$27,'Task 1'!J$14,FALSE)</f>
        <v>0</v>
      </c>
      <c r="K13">
        <f>VLOOKUP($A13,'Task 1'!$A$16:$P$27,'Task 1'!K$14,FALSE)</f>
        <v>2</v>
      </c>
      <c r="L13">
        <f>VLOOKUP($A13,'Task 1'!$A$16:$P$27,'Task 1'!L$14,FALSE)</f>
        <v>1</v>
      </c>
      <c r="M13">
        <f>VLOOKUP($A13,'Task 1'!$A$16:$P$27,'Task 1'!M$14,FALSE)</f>
        <v>1</v>
      </c>
      <c r="N13">
        <f>VLOOKUP($A13,'Task 1'!$A$16:$P$27,'Task 1'!N$14,FALSE)</f>
        <v>1</v>
      </c>
      <c r="O13">
        <f>VLOOKUP($A13,'Task 1'!$A$16:$P$27,'Task 1'!O$14,FALSE)</f>
        <v>0</v>
      </c>
      <c r="P13">
        <f>VLOOKUP($A13,'Task 1'!$A$16:$P$27,'Task 1'!P$14,FALSE)</f>
        <v>1</v>
      </c>
      <c r="Q13">
        <f>VLOOKUP($A13,'Task 2'!$A$2:$J$12,10,FALSE)</f>
        <v>1</v>
      </c>
      <c r="R13">
        <f>VLOOKUP($A13,'Task 3'!$A$2:$J$12,10,FALSE)</f>
        <v>0</v>
      </c>
      <c r="S13">
        <f>VLOOKUP($A13,'Task 1'!$A$16:$V$27,17,FALSE)</f>
        <v>13</v>
      </c>
      <c r="T13">
        <f>VLOOKUP($A13,'Task 1'!$A$16:$V$27,18,FALSE)</f>
        <v>56</v>
      </c>
      <c r="U13" s="28">
        <f>VLOOKUP($A13,'Task 1'!$A$16:$V$27,19,FALSE)</f>
        <v>0.66666666666666663</v>
      </c>
      <c r="V13" s="63">
        <f>VLOOKUP($A13,'Task 1'!$A$16:$W$27,23,FALSE)</f>
        <v>0.41666666666666669</v>
      </c>
      <c r="W13" t="str">
        <f>IF(VLOOKUP($A13,'Task 1'!$A$2:$P$13,'Task 1'!C$14,FALSE)="","",VLOOKUP($A13,'Task 1'!$A$2:$P$13,'Task 1'!C$14,FALSE))</f>
        <v>The agent goal is to implement necessary changes following the requirements in a pull requests. It will need to first analyses this task step by step and provide candidate solutions. Then, they need to run tools to validate the correctness of candidates solutions. Finally, they will submit the solutions if they pass the validation.</v>
      </c>
      <c r="X13" t="str">
        <f>IF(VLOOKUP($A13,'Task 1'!$A$2:$P$13,'Task 1'!D$14,FALSE)="","",VLOOKUP($A13,'Task 1'!$A$2:$P$13,'Task 1'!D$14,FALSE))</f>
        <v>No, the task was not completed.</v>
      </c>
      <c r="Y13" t="str">
        <f>IF(VLOOKUP($A13,'Task 1'!$A$2:$P$13,'Task 1'!E$14,FALSE)="","",VLOOKUP($A13,'Task 1'!$A$2:$P$13,'Task 1'!E$14,FALSE))</f>
        <v>run tools, generate solutions, fix solutions, submit solutions</v>
      </c>
      <c r="Z13" t="str">
        <f>IF(VLOOKUP($A13,'Task 1'!$A$2:$P$13,'Task 1'!F$14,FALSE)="","",VLOOKUP($A13,'Task 1'!$A$2:$P$13,'Task 1'!F$14,FALSE))</f>
        <v>run tools</v>
      </c>
      <c r="AA13" t="str">
        <f>IF(VLOOKUP($A13,'Task 1'!$A$2:$P$13,'Task 1'!G$14,FALSE)="","",VLOOKUP($A13,'Task 1'!$A$2:$P$13,'Task 1'!G$14,FALSE))</f>
        <v>The agent has trouble on generating compilable code. Some errors include "ModuleNotFoundError", indicating they fail to setup environment correctly, and "IndentationError", indicating they fails to generate syntactically correct code.</v>
      </c>
      <c r="AB13" t="str">
        <f>IF(VLOOKUP($A13,'Task 1'!$A$2:$P$13,'Task 1'!H$14,FALSE)="","",VLOOKUP($A13,'Task 1'!$A$2:$P$13,'Task 1'!H$14,FALSE))</f>
        <v>Yes, the agent run programs, found some face indentation errors and then fixing these errors 4 times in a row before stopping.</v>
      </c>
      <c r="AC13" t="str">
        <f>IF(VLOOKUP($A13,'Task 1'!$A$2:$P$13,'Task 1'!I$14,FALSE)="","",VLOOKUP($A13,'Task 1'!$A$2:$P$13,'Task 1'!I$14,FALSE))</f>
        <v>+from finance_tracker.income import IncomeTracker</v>
      </c>
      <c r="AD13" t="str">
        <f>IF(VLOOKUP($A13,'Task 1'!$A$2:$P$13,'Task 1'!J$14,FALSE)="","",VLOOKUP($A13,'Task 1'!$A$2:$P$13,'Task 1'!J$14,FALSE))</f>
        <v>/finance_tracker/finance_tracker/cli.py</v>
      </c>
      <c r="AE13" t="str">
        <f>IF(VLOOKUP($A13,'Task 1'!$A$2:$P$13,'Task 1'!K$14,FALSE)="","",VLOOKUP($A13,'Task 1'!$A$2:$P$13,'Task 1'!K$14,FALSE))</f>
        <v>The agent get a feedback that a dependency, i.e., pandas, was missing. "ModuleNotFoundError: No module named 'pandas'" Based on this feedback the agent installed this module in next action.</v>
      </c>
      <c r="AF13" t="str">
        <f>IF(VLOOKUP($A13,'Task 1'!$A$2:$P$13,'Task 1'!L$14,FALSE)="","",VLOOKUP($A13,'Task 1'!$A$2:$P$13,'Task 1'!L$14,FALSE))</f>
        <v>pandas, matplotlib</v>
      </c>
      <c r="AG13" t="str">
        <f>IF(VLOOKUP($A13,'Task 1'!$A$2:$P$13,'Task 1'!M$14,FALSE)="","",VLOOKUP($A13,'Task 1'!$A$2:$P$13,'Task 1'!M$14,FALSE))</f>
        <v>Traceback (most recent call last):   File "/finance_tracker/finance_tracker/tests/test_income.py", line 7, in &lt;module&gt;     from finance_tracker.cli import FinanceTrackerCLI   File "/finance_tracker/finance_tracker/cli.py", line 41     def do_generate_income_report(self, arg):     ^ IndentationError: expected an indented block after function definition on line 40</v>
      </c>
      <c r="AH13" t="str">
        <f>IF(VLOOKUP($A13,'Task 1'!$A$2:$P$13,'Task 1'!N$14,FALSE)="","",VLOOKUP($A13,'Task 1'!$A$2:$P$13,'Task 1'!N$14,FALSE))</f>
        <v>/finance_tracker/finance_tracker/cli.py</v>
      </c>
      <c r="AI13" t="str">
        <f>IF(VLOOKUP($A13,'Task 1'!$A$2:$P$13,'Task 1'!O$14,FALSE)="","",VLOOKUP($A13,'Task 1'!$A$2:$P$13,'Task 1'!O$14,FALSE))</f>
        <v>Yes "Found submission: diff --git a/finance_tracker/cli.py b/finance_tracker/cli.py"</v>
      </c>
      <c r="AJ13" t="str">
        <f>IF(VLOOKUP($A13,'Task 1'!$A$2:$P$13,'Task 1'!P$14,FALSE)="","",VLOOKUP($A13,'Task 1'!$A$2:$P$13,'Task 1'!P$14,FALSE))</f>
        <v>They tried to fix same error and return same fix for all turns.</v>
      </c>
      <c r="AK13" t="str">
        <f>IF(VLOOKUP($A13,Form_Responses8[[Participant Key]:[Find and describe all potential bugs!]],3,FALSE)="","",VLOOKUP($A13,Form_Responses8[[Participant Key]:[Find and describe all potential bugs!]],3,FALSE))</f>
        <v xml:space="preserve">The write_fix() tool should generate the patch and apply this patch to current repository by modifying the read() method. However, I guess it only generate the fix and do not apply into current repository. That is reason why the test results are always failures. </v>
      </c>
      <c r="AL13" t="str">
        <f>IF(VLOOKUP($A13,Form_Responses6[[Participant Key]:[Find and describe all potential bugs!]],3,FALSE)="","",VLOOKUP($A13,Form_Responses6[[Participant Key]:[Find and describe all potential bugs!]],3,FALSE))</f>
        <v>I think the error lies on tool design to execute command. This based on the observation that this error message "SYSTEM:  Unable to execute command" repeat 39 times in the logs. Without executing the command, the agent cannot define the next steps, leading to failures.</v>
      </c>
      <c r="AM13" cm="1">
        <f t="array" ref="AM13">INDEX('Task 1'!$B$30:$B$43,COLUMN(A12))</f>
        <v>3</v>
      </c>
      <c r="AN13" cm="1">
        <f t="array" ref="AN13">INDEX('Task 1'!$B$30:$B$43,COLUMN(B12))</f>
        <v>1</v>
      </c>
      <c r="AO13" cm="1">
        <f t="array" ref="AO13">INDEX('Task 1'!$B$30:$B$43,COLUMN(C12))</f>
        <v>2</v>
      </c>
      <c r="AP13" cm="1">
        <f t="array" ref="AP13">INDEX('Task 1'!$B$30:$B$43,COLUMN(D12))</f>
        <v>1</v>
      </c>
      <c r="AQ13" cm="1">
        <f t="array" ref="AQ13">INDEX('Task 1'!$B$30:$B$43,COLUMN(E12))</f>
        <v>1</v>
      </c>
      <c r="AR13" cm="1">
        <f t="array" ref="AR13">INDEX('Task 1'!$B$30:$B$43,COLUMN(F12))</f>
        <v>2</v>
      </c>
      <c r="AS13" cm="1">
        <f t="array" ref="AS13">INDEX('Task 1'!$B$30:$B$43,COLUMN(G12))</f>
        <v>1</v>
      </c>
      <c r="AT13" cm="1">
        <f t="array" ref="AT13">INDEX('Task 1'!$B$30:$B$43,COLUMN(H12))</f>
        <v>2</v>
      </c>
      <c r="AU13" cm="1">
        <f t="array" ref="AU13">INDEX('Task 1'!$B$30:$B$43,COLUMN(I12))</f>
        <v>2</v>
      </c>
      <c r="AV13" cm="1">
        <f t="array" ref="AV13">INDEX('Task 1'!$B$30:$B$43,COLUMN(J12))</f>
        <v>1</v>
      </c>
      <c r="AW13" cm="1">
        <f t="array" ref="AW13">INDEX('Task 1'!$B$30:$B$43,COLUMN(K12))</f>
        <v>1</v>
      </c>
      <c r="AX13" cm="1">
        <f t="array" ref="AX13">INDEX('Task 1'!$B$30:$B$43,COLUMN(L12))</f>
        <v>1</v>
      </c>
      <c r="AY13" cm="1">
        <f t="array" ref="AY13">INDEX('Task 1'!$B$30:$B$43,COLUMN(M12))</f>
        <v>1</v>
      </c>
      <c r="AZ13" cm="1">
        <f t="array" ref="AZ13">INDEX('Task 1'!$B$30:$B$43,COLUMN(N12))</f>
        <v>2</v>
      </c>
      <c r="BA13">
        <v>1</v>
      </c>
      <c r="BB13">
        <v>1</v>
      </c>
      <c r="BC13">
        <f>'Task 1'!$B$45</f>
        <v>21</v>
      </c>
      <c r="BD13">
        <f>'Task 1'!$D$45</f>
        <v>84</v>
      </c>
    </row>
    <row r="14" spans="1:56" x14ac:dyDescent="0.15">
      <c r="A14" s="38"/>
    </row>
    <row r="15" spans="1:56" x14ac:dyDescent="0.15">
      <c r="A15" s="38"/>
    </row>
    <row r="16" spans="1:56" x14ac:dyDescent="0.15">
      <c r="A16" s="38"/>
    </row>
    <row r="17" spans="1:1" x14ac:dyDescent="0.15">
      <c r="A17" s="38"/>
    </row>
  </sheetData>
  <phoneticPr fontId="9" type="noConversion"/>
  <pageMargins left="0.7" right="0.7" top="0.75" bottom="0.75" header="0.3" footer="0.3"/>
  <pageSetup paperSize="9" scale="20"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9D3B6-9308-E349-9FF4-832228C9A0C6}">
  <dimension ref="A1:X23"/>
  <sheetViews>
    <sheetView workbookViewId="0">
      <selection activeCell="C13" sqref="C13"/>
    </sheetView>
  </sheetViews>
  <sheetFormatPr baseColWidth="10" defaultRowHeight="13" x14ac:dyDescent="0.15"/>
  <cols>
    <col min="1" max="1" width="12.83203125" bestFit="1" customWidth="1"/>
    <col min="2" max="3" width="12.83203125" customWidth="1"/>
    <col min="4" max="4" width="18.83203125" bestFit="1" customWidth="1"/>
    <col min="5" max="5" width="10.5" bestFit="1" customWidth="1"/>
    <col min="6" max="6" width="13.33203125" bestFit="1" customWidth="1"/>
    <col min="7" max="7" width="13.33203125" customWidth="1"/>
  </cols>
  <sheetData>
    <row r="1" spans="1:24" x14ac:dyDescent="0.15">
      <c r="A1" s="15" t="s">
        <v>0</v>
      </c>
      <c r="B1" s="15" t="s">
        <v>179</v>
      </c>
      <c r="C1" s="15" t="s">
        <v>270</v>
      </c>
      <c r="D1" s="15" t="s">
        <v>186</v>
      </c>
      <c r="E1" s="15" t="s">
        <v>189</v>
      </c>
      <c r="F1" s="15" t="s">
        <v>187</v>
      </c>
      <c r="G1" s="15" t="s">
        <v>190</v>
      </c>
      <c r="H1" s="15" t="s">
        <v>188</v>
      </c>
      <c r="I1" s="15" t="s">
        <v>191</v>
      </c>
      <c r="J1" s="15" t="s">
        <v>192</v>
      </c>
      <c r="K1" s="15" t="s">
        <v>193</v>
      </c>
      <c r="L1" s="15" t="s">
        <v>194</v>
      </c>
      <c r="M1" s="15" t="s">
        <v>195</v>
      </c>
      <c r="N1" s="15" t="s">
        <v>196</v>
      </c>
      <c r="O1" s="15" t="s">
        <v>197</v>
      </c>
      <c r="P1" s="15" t="s">
        <v>198</v>
      </c>
      <c r="Q1" s="15" t="s">
        <v>199</v>
      </c>
      <c r="R1" s="15" t="s">
        <v>201</v>
      </c>
      <c r="S1" s="15" t="s">
        <v>202</v>
      </c>
      <c r="T1" s="15" t="s">
        <v>203</v>
      </c>
      <c r="U1" s="15" t="s">
        <v>204</v>
      </c>
      <c r="V1" s="15" t="s">
        <v>205</v>
      </c>
      <c r="W1" s="15" t="s">
        <v>200</v>
      </c>
      <c r="X1" s="15" t="s">
        <v>206</v>
      </c>
    </row>
    <row r="2" spans="1:24" x14ac:dyDescent="0.15">
      <c r="A2" s="39" t="str">
        <f>'Task 1'!A48</f>
        <v>fe6c</v>
      </c>
      <c r="B2" t="str">
        <f>VLOOKUP('CSV Results'!A2,'Task 1'!$A$48:$B$59,2,FALSE)</f>
        <v>B</v>
      </c>
      <c r="C2" t="str">
        <f>VLOOKUP(A2,'Task 1'!A$74:B$85,2,FALSE)</f>
        <v>Basic</v>
      </c>
      <c r="D2" s="49">
        <f>VLOOKUP($A2,'Task 1'!$A$16:$V$27,19,FALSE)</f>
        <v>0.6071428571428571</v>
      </c>
      <c r="E2" s="38">
        <f>MINUTE(VLOOKUP($A2,'Task 1'!$A$16:$V$27,22,FALSE))+SECOND(VLOOKUP($A2,'Task 1'!$A$16:$V$27,22,FALSE))/60</f>
        <v>25</v>
      </c>
      <c r="F2" s="15">
        <f>VLOOKUP($A2,'Task 2'!$A$2:$J$12,10,FALSE)</f>
        <v>0</v>
      </c>
      <c r="G2" s="39">
        <f>MINUTE(VLOOKUP($A2,'Task 2'!$A$2:$J$12,2,FALSE))+SECOND(VLOOKUP($A2,'Task 2'!$A$2:$J$12,2,FALSE))/60</f>
        <v>12</v>
      </c>
      <c r="H2" s="15">
        <f>VLOOKUP($A2,'Task 3'!$A$2:$J$12,10,FALSE)</f>
        <v>0</v>
      </c>
      <c r="I2" s="39">
        <f>MINUTE(VLOOKUP($A2,'Task 3'!$A$2:$J$12,2,FALSE))+SECOND(VLOOKUP($A2,'Task 3'!$A$2:$J$12,2,FALSE))/60</f>
        <v>12</v>
      </c>
      <c r="J2" s="15">
        <f>VLOOKUP($A2,Form_Responses[],17,FALSE)</f>
        <v>6</v>
      </c>
      <c r="K2" s="15">
        <f>VLOOKUP($A2,Form_Responses[],18,FALSE)</f>
        <v>5</v>
      </c>
      <c r="L2" s="15">
        <f>VLOOKUP($A2,Form_Responses[],19,FALSE)</f>
        <v>4</v>
      </c>
      <c r="M2" s="15">
        <f>VLOOKUP($A2,Form_Responses[],20,FALSE)</f>
        <v>5</v>
      </c>
      <c r="N2">
        <f>VLOOKUP($A2,Form_Responses[],21,FALSE)</f>
        <v>3</v>
      </c>
      <c r="O2">
        <f>VLOOKUP($A2,Form_Responses8[],4,FALSE)</f>
        <v>6</v>
      </c>
      <c r="P2">
        <f>VLOOKUP($A2,Form_Responses8[],5,FALSE)</f>
        <v>5</v>
      </c>
      <c r="Q2">
        <f>VLOOKUP($A2,Form_Responses8[],6,FALSE)</f>
        <v>3</v>
      </c>
      <c r="R2">
        <f>VLOOKUP($A2,Form_Responses8[],7,FALSE)</f>
        <v>4</v>
      </c>
      <c r="S2">
        <f>VLOOKUP($A2,Form_Responses8[],8,FALSE)</f>
        <v>4</v>
      </c>
      <c r="T2">
        <f>VLOOKUP($A2,Form_Responses6[],4,FALSE)</f>
        <v>6</v>
      </c>
      <c r="U2">
        <f>VLOOKUP($A2,Form_Responses6[],5,FALSE)</f>
        <v>5</v>
      </c>
      <c r="V2">
        <f>VLOOKUP($A2,Form_Responses6[],6,FALSE)</f>
        <v>5</v>
      </c>
      <c r="W2">
        <f>VLOOKUP($A2,Form_Responses6[],7,FALSE)</f>
        <v>5</v>
      </c>
      <c r="X2">
        <f>VLOOKUP($A2,Form_Responses6[],8,FALSE)</f>
        <v>4</v>
      </c>
    </row>
    <row r="3" spans="1:24" x14ac:dyDescent="0.15">
      <c r="A3" s="39" t="str">
        <f>'Task 1'!A49</f>
        <v>67c3</v>
      </c>
      <c r="B3" t="str">
        <f>VLOOKUP('CSV Results'!A3,'Task 1'!$A$48:$B$59,2,FALSE)</f>
        <v>B</v>
      </c>
      <c r="C3" t="str">
        <f>VLOOKUP(A3,'Task 1'!A$74:B$85,2,FALSE)</f>
        <v>None</v>
      </c>
      <c r="D3" s="49">
        <f>VLOOKUP($A3,'Task 1'!$A$16:$V$27,19,FALSE)</f>
        <v>0.14285714285714285</v>
      </c>
      <c r="E3" s="38">
        <f>MINUTE(VLOOKUP($A3,'Task 1'!$A$16:$V$27,22,FALSE))+SECOND(VLOOKUP($A3,'Task 1'!$A$16:$V$27,22,FALSE))/60</f>
        <v>25</v>
      </c>
      <c r="F3" s="15">
        <f>VLOOKUP($A3,'Task 2'!$A$2:$J$12,10,FALSE)</f>
        <v>0</v>
      </c>
      <c r="G3" s="39">
        <f>MINUTE(VLOOKUP($A3,'Task 2'!$A$2:$J$12,2,FALSE))+SECOND(VLOOKUP($A3,'Task 2'!$A$2:$J$12,2,FALSE))/60</f>
        <v>12</v>
      </c>
      <c r="H3" s="15">
        <f>VLOOKUP($A3,'Task 3'!$A$2:$J$12,10,FALSE)</f>
        <v>0</v>
      </c>
      <c r="I3" s="39">
        <f>MINUTE(VLOOKUP($A3,'Task 3'!$A$2:$J$12,2,FALSE))+SECOND(VLOOKUP($A3,'Task 3'!$A$2:$J$12,2,FALSE))/60</f>
        <v>12</v>
      </c>
      <c r="J3" s="15">
        <f>VLOOKUP($A3,Form_Responses[],17,FALSE)</f>
        <v>3</v>
      </c>
      <c r="K3" s="15">
        <f>VLOOKUP($A3,Form_Responses[],18,FALSE)</f>
        <v>6</v>
      </c>
      <c r="L3" s="15">
        <f>VLOOKUP($A3,Form_Responses[],19,FALSE)</f>
        <v>6</v>
      </c>
      <c r="M3" s="15">
        <f>VLOOKUP($A3,Form_Responses[],20,FALSE)</f>
        <v>5</v>
      </c>
      <c r="N3">
        <f>VLOOKUP($A3,Form_Responses[],21,FALSE)</f>
        <v>4</v>
      </c>
      <c r="O3">
        <f>VLOOKUP($A3,Form_Responses8[],4,FALSE)</f>
        <v>5</v>
      </c>
      <c r="P3">
        <f>VLOOKUP($A3,Form_Responses8[],5,FALSE)</f>
        <v>7</v>
      </c>
      <c r="Q3">
        <f>VLOOKUP($A3,Form_Responses8[],6,FALSE)</f>
        <v>7</v>
      </c>
      <c r="R3">
        <f>VLOOKUP($A3,Form_Responses8[],7,FALSE)</f>
        <v>6</v>
      </c>
      <c r="S3">
        <f>VLOOKUP($A3,Form_Responses8[],8,FALSE)</f>
        <v>7</v>
      </c>
      <c r="T3">
        <f>VLOOKUP($A3,Form_Responses6[],4,FALSE)</f>
        <v>5</v>
      </c>
      <c r="U3">
        <f>VLOOKUP($A3,Form_Responses6[],5,FALSE)</f>
        <v>7</v>
      </c>
      <c r="V3">
        <f>VLOOKUP($A3,Form_Responses6[],6,FALSE)</f>
        <v>4</v>
      </c>
      <c r="W3">
        <f>VLOOKUP($A3,Form_Responses6[],7,FALSE)</f>
        <v>6</v>
      </c>
      <c r="X3">
        <f>VLOOKUP($A3,Form_Responses6[],8,FALSE)</f>
        <v>5</v>
      </c>
    </row>
    <row r="4" spans="1:24" x14ac:dyDescent="0.15">
      <c r="A4" s="39" t="str">
        <f>'Task 1'!A50</f>
        <v>0078</v>
      </c>
      <c r="B4" t="str">
        <f>VLOOKUP('CSV Results'!A4,'Task 1'!$A$48:$B$59,2,FALSE)</f>
        <v>A</v>
      </c>
      <c r="C4" t="str">
        <f>VLOOKUP(A4,'Task 1'!A$74:B$85,2,FALSE)</f>
        <v>None</v>
      </c>
      <c r="D4" s="49">
        <f>VLOOKUP($A4,'Task 1'!$A$16:$V$27,19,FALSE)</f>
        <v>0.65476190476190477</v>
      </c>
      <c r="E4" s="38">
        <f>MINUTE(VLOOKUP($A4,'Task 1'!$A$16:$V$27,22,FALSE))+SECOND(VLOOKUP($A4,'Task 1'!$A$16:$V$27,22,FALSE))/60</f>
        <v>25</v>
      </c>
      <c r="F4" s="15">
        <f>VLOOKUP($A4,'Task 2'!$A$2:$J$12,10,FALSE)</f>
        <v>0</v>
      </c>
      <c r="G4" s="39">
        <f>MINUTE(VLOOKUP($A4,'Task 2'!$A$2:$J$12,2,FALSE))+SECOND(VLOOKUP($A4,'Task 2'!$A$2:$J$12,2,FALSE))/60</f>
        <v>12</v>
      </c>
      <c r="H4" s="15">
        <f>VLOOKUP($A4,'Task 3'!$A$2:$J$12,10,FALSE)</f>
        <v>1</v>
      </c>
      <c r="I4" s="39">
        <f>MINUTE(VLOOKUP($A4,'Task 3'!$A$2:$J$12,2,FALSE))+SECOND(VLOOKUP($A4,'Task 3'!$A$2:$J$12,2,FALSE))/60</f>
        <v>12</v>
      </c>
      <c r="J4" s="15">
        <f>VLOOKUP($A4,Form_Responses[],17,FALSE)</f>
        <v>4</v>
      </c>
      <c r="K4" s="15">
        <f>VLOOKUP($A4,Form_Responses[],18,FALSE)</f>
        <v>4</v>
      </c>
      <c r="L4" s="15">
        <f>VLOOKUP($A4,Form_Responses[],19,FALSE)</f>
        <v>3</v>
      </c>
      <c r="M4" s="15">
        <f>VLOOKUP($A4,Form_Responses[],20,FALSE)</f>
        <v>4</v>
      </c>
      <c r="N4">
        <f>VLOOKUP($A4,Form_Responses[],21,FALSE)</f>
        <v>3</v>
      </c>
      <c r="O4">
        <f>VLOOKUP($A4,Form_Responses8[],4,FALSE)</f>
        <v>3</v>
      </c>
      <c r="P4">
        <f>VLOOKUP($A4,Form_Responses8[],5,FALSE)</f>
        <v>2</v>
      </c>
      <c r="Q4">
        <f>VLOOKUP($A4,Form_Responses8[],6,FALSE)</f>
        <v>4</v>
      </c>
      <c r="R4">
        <f>VLOOKUP($A4,Form_Responses8[],7,FALSE)</f>
        <v>3</v>
      </c>
      <c r="S4">
        <f>VLOOKUP($A4,Form_Responses8[],8,FALSE)</f>
        <v>2</v>
      </c>
      <c r="T4">
        <f>VLOOKUP($A4,Form_Responses6[],4,FALSE)</f>
        <v>4</v>
      </c>
      <c r="U4">
        <f>VLOOKUP($A4,Form_Responses6[],5,FALSE)</f>
        <v>3</v>
      </c>
      <c r="V4">
        <f>VLOOKUP($A4,Form_Responses6[],6,FALSE)</f>
        <v>5</v>
      </c>
      <c r="W4">
        <f>VLOOKUP($A4,Form_Responses6[],7,FALSE)</f>
        <v>4</v>
      </c>
      <c r="X4">
        <f>VLOOKUP($A4,Form_Responses6[],8,FALSE)</f>
        <v>4</v>
      </c>
    </row>
    <row r="5" spans="1:24" x14ac:dyDescent="0.15">
      <c r="A5" s="39" t="str">
        <f>'Task 1'!A51</f>
        <v>1d20</v>
      </c>
      <c r="B5" t="str">
        <f>VLOOKUP('CSV Results'!A5,'Task 1'!$A$48:$B$59,2,FALSE)</f>
        <v>A</v>
      </c>
      <c r="C5" t="str">
        <f>VLOOKUP(A5,'Task 1'!A$74:B$85,2,FALSE)</f>
        <v>Moderate</v>
      </c>
      <c r="D5" s="49">
        <f>VLOOKUP($A5,'Task 1'!$A$16:$V$27,19,FALSE)</f>
        <v>0.84523809523809523</v>
      </c>
      <c r="E5" s="38">
        <f>MINUTE(VLOOKUP($A5,'Task 1'!$A$16:$V$27,22,FALSE))+SECOND(VLOOKUP($A5,'Task 1'!$A$16:$V$27,22,FALSE))/60</f>
        <v>24.5</v>
      </c>
      <c r="F5" s="15">
        <f>VLOOKUP($A5,'Task 2'!$A$2:$J$12,10,FALSE)</f>
        <v>1</v>
      </c>
      <c r="G5" s="39">
        <f>MINUTE(VLOOKUP($A5,'Task 2'!$A$2:$J$12,2,FALSE))+SECOND(VLOOKUP($A5,'Task 2'!$A$2:$J$12,2,FALSE))/60</f>
        <v>12</v>
      </c>
      <c r="H5" s="15">
        <f>VLOOKUP($A5,'Task 3'!$A$2:$J$12,10,FALSE)</f>
        <v>1</v>
      </c>
      <c r="I5" s="39">
        <f>MINUTE(VLOOKUP($A5,'Task 3'!$A$2:$J$12,2,FALSE))+SECOND(VLOOKUP($A5,'Task 3'!$A$2:$J$12,2,FALSE))/60</f>
        <v>7</v>
      </c>
      <c r="J5" s="15">
        <f>VLOOKUP($A5,Form_Responses[],17,FALSE)</f>
        <v>6</v>
      </c>
      <c r="K5" s="15">
        <f>VLOOKUP($A5,Form_Responses[],18,FALSE)</f>
        <v>5</v>
      </c>
      <c r="L5" s="15">
        <f>VLOOKUP($A5,Form_Responses[],19,FALSE)</f>
        <v>2</v>
      </c>
      <c r="M5" s="15">
        <f>VLOOKUP($A5,Form_Responses[],20,FALSE)</f>
        <v>5</v>
      </c>
      <c r="N5">
        <f>VLOOKUP($A5,Form_Responses[],21,FALSE)</f>
        <v>1</v>
      </c>
      <c r="O5">
        <f>VLOOKUP($A5,Form_Responses8[],4,FALSE)</f>
        <v>6</v>
      </c>
      <c r="P5">
        <f>VLOOKUP($A5,Form_Responses8[],5,FALSE)</f>
        <v>7</v>
      </c>
      <c r="Q5">
        <f>VLOOKUP($A5,Form_Responses8[],6,FALSE)</f>
        <v>2</v>
      </c>
      <c r="R5">
        <f>VLOOKUP($A5,Form_Responses8[],7,FALSE)</f>
        <v>6</v>
      </c>
      <c r="S5">
        <f>VLOOKUP($A5,Form_Responses8[],8,FALSE)</f>
        <v>1</v>
      </c>
      <c r="T5">
        <f>VLOOKUP($A5,Form_Responses6[],4,FALSE)</f>
        <v>4</v>
      </c>
      <c r="U5">
        <f>VLOOKUP($A5,Form_Responses6[],5,FALSE)</f>
        <v>2</v>
      </c>
      <c r="V5">
        <f>VLOOKUP($A5,Form_Responses6[],6,FALSE)</f>
        <v>1</v>
      </c>
      <c r="W5">
        <f>VLOOKUP($A5,Form_Responses6[],7,FALSE)</f>
        <v>2</v>
      </c>
      <c r="X5">
        <f>VLOOKUP($A5,Form_Responses6[],8,FALSE)</f>
        <v>1</v>
      </c>
    </row>
    <row r="6" spans="1:24" x14ac:dyDescent="0.15">
      <c r="A6" s="39" t="str">
        <f>'Task 1'!A52</f>
        <v>33c6</v>
      </c>
      <c r="B6" t="str">
        <f>VLOOKUP('CSV Results'!A6,'Task 1'!$A$48:$B$59,2,FALSE)</f>
        <v>A</v>
      </c>
      <c r="C6" t="str">
        <f>VLOOKUP(A6,'Task 1'!A$74:B$85,2,FALSE)</f>
        <v>Advanced</v>
      </c>
      <c r="D6" s="49">
        <f>VLOOKUP($A6,'Task 1'!$A$16:$V$27,19,FALSE)</f>
        <v>0.88095238095238093</v>
      </c>
      <c r="E6" s="38">
        <f>MINUTE(VLOOKUP($A6,'Task 1'!$A$16:$V$27,22,FALSE))+SECOND(VLOOKUP($A6,'Task 1'!$A$16:$V$27,22,FALSE))/60</f>
        <v>25</v>
      </c>
      <c r="F6" s="15">
        <f>VLOOKUP($A6,'Task 2'!$A$2:$J$12,10,FALSE)</f>
        <v>1</v>
      </c>
      <c r="G6" s="39">
        <f>MINUTE(VLOOKUP($A6,'Task 2'!$A$2:$J$12,2,FALSE))+SECOND(VLOOKUP($A6,'Task 2'!$A$2:$J$12,2,FALSE))/60</f>
        <v>9</v>
      </c>
      <c r="H6" s="15">
        <f>VLOOKUP($A6,'Task 3'!$A$2:$J$12,10,FALSE)</f>
        <v>1</v>
      </c>
      <c r="I6" s="39">
        <f>MINUTE(VLOOKUP($A6,'Task 3'!$A$2:$J$12,2,FALSE))+SECOND(VLOOKUP($A6,'Task 3'!$A$2:$J$12,2,FALSE))/60</f>
        <v>12</v>
      </c>
      <c r="J6" s="15">
        <f>VLOOKUP($A6,Form_Responses[],17,FALSE)</f>
        <v>4</v>
      </c>
      <c r="K6" s="15">
        <f>VLOOKUP($A6,Form_Responses[],18,FALSE)</f>
        <v>5</v>
      </c>
      <c r="L6" s="15">
        <f>VLOOKUP($A6,Form_Responses[],19,FALSE)</f>
        <v>1</v>
      </c>
      <c r="M6" s="15">
        <f>VLOOKUP($A6,Form_Responses[],20,FALSE)</f>
        <v>3</v>
      </c>
      <c r="N6">
        <f>VLOOKUP($A6,Form_Responses[],21,FALSE)</f>
        <v>1</v>
      </c>
      <c r="O6">
        <f>VLOOKUP($A6,Form_Responses8[],4,FALSE)</f>
        <v>4</v>
      </c>
      <c r="P6">
        <f>VLOOKUP($A6,Form_Responses8[],5,FALSE)</f>
        <v>2</v>
      </c>
      <c r="Q6">
        <f>VLOOKUP($A6,Form_Responses8[],6,FALSE)</f>
        <v>2</v>
      </c>
      <c r="R6">
        <f>VLOOKUP($A6,Form_Responses8[],7,FALSE)</f>
        <v>2</v>
      </c>
      <c r="S6">
        <f>VLOOKUP($A6,Form_Responses8[],8,FALSE)</f>
        <v>1</v>
      </c>
      <c r="T6">
        <f>VLOOKUP($A6,Form_Responses6[],4,FALSE)</f>
        <v>5</v>
      </c>
      <c r="U6">
        <f>VLOOKUP($A6,Form_Responses6[],5,FALSE)</f>
        <v>5</v>
      </c>
      <c r="V6">
        <f>VLOOKUP($A6,Form_Responses6[],6,FALSE)</f>
        <v>3</v>
      </c>
      <c r="W6">
        <f>VLOOKUP($A6,Form_Responses6[],7,FALSE)</f>
        <v>5</v>
      </c>
      <c r="X6">
        <f>VLOOKUP($A6,Form_Responses6[],8,FALSE)</f>
        <v>2</v>
      </c>
    </row>
    <row r="7" spans="1:24" x14ac:dyDescent="0.15">
      <c r="A7" s="39" t="str">
        <f>'Task 1'!A53</f>
        <v>49f7</v>
      </c>
      <c r="B7" t="str">
        <f>VLOOKUP('CSV Results'!A7,'Task 1'!$A$48:$B$59,2,FALSE)</f>
        <v>B</v>
      </c>
      <c r="C7" t="str">
        <f>VLOOKUP(A7,'Task 1'!A$74:B$85,2,FALSE)</f>
        <v>Basic</v>
      </c>
      <c r="D7" s="49">
        <f>VLOOKUP($A7,'Task 1'!$A$16:$V$27,19,FALSE)</f>
        <v>0.79761904761904767</v>
      </c>
      <c r="E7" s="38">
        <f>MINUTE(VLOOKUP($A7,'Task 1'!$A$16:$V$27,22,FALSE))+SECOND(VLOOKUP($A7,'Task 1'!$A$16:$V$27,22,FALSE))/60</f>
        <v>24</v>
      </c>
      <c r="F7" s="15">
        <f>VLOOKUP($A7,'Task 2'!$A$2:$J$12,10,FALSE)</f>
        <v>0</v>
      </c>
      <c r="G7" s="39">
        <f>MINUTE(VLOOKUP($A7,'Task 2'!$A$2:$J$12,2,FALSE))+SECOND(VLOOKUP($A7,'Task 2'!$A$2:$J$12,2,FALSE))/60</f>
        <v>12</v>
      </c>
      <c r="H7" s="15">
        <f>VLOOKUP($A7,'Task 3'!$A$2:$J$12,10,FALSE)</f>
        <v>1</v>
      </c>
      <c r="I7" s="39">
        <f>MINUTE(VLOOKUP($A7,'Task 3'!$A$2:$J$12,2,FALSE))+SECOND(VLOOKUP($A7,'Task 3'!$A$2:$J$12,2,FALSE))/60</f>
        <v>12</v>
      </c>
      <c r="J7" s="15">
        <f>VLOOKUP($A7,Form_Responses[],17,FALSE)</f>
        <v>6</v>
      </c>
      <c r="K7" s="15">
        <f>VLOOKUP($A7,Form_Responses[],18,FALSE)</f>
        <v>5</v>
      </c>
      <c r="L7" s="15">
        <f>VLOOKUP($A7,Form_Responses[],19,FALSE)</f>
        <v>2</v>
      </c>
      <c r="M7" s="15">
        <f>VLOOKUP($A7,Form_Responses[],20,FALSE)</f>
        <v>6</v>
      </c>
      <c r="N7">
        <f>VLOOKUP($A7,Form_Responses[],21,FALSE)</f>
        <v>5</v>
      </c>
      <c r="O7">
        <f>VLOOKUP($A7,Form_Responses8[],4,FALSE)</f>
        <v>7</v>
      </c>
      <c r="P7">
        <f>VLOOKUP($A7,Form_Responses8[],5,FALSE)</f>
        <v>6</v>
      </c>
      <c r="Q7">
        <f>VLOOKUP($A7,Form_Responses8[],6,FALSE)</f>
        <v>5</v>
      </c>
      <c r="R7">
        <f>VLOOKUP($A7,Form_Responses8[],7,FALSE)</f>
        <v>6</v>
      </c>
      <c r="S7">
        <f>VLOOKUP($A7,Form_Responses8[],8,FALSE)</f>
        <v>7</v>
      </c>
      <c r="T7">
        <f>VLOOKUP($A7,Form_Responses6[],4,FALSE)</f>
        <v>7</v>
      </c>
      <c r="U7">
        <f>VLOOKUP($A7,Form_Responses6[],5,FALSE)</f>
        <v>7</v>
      </c>
      <c r="V7">
        <f>VLOOKUP($A7,Form_Responses6[],6,FALSE)</f>
        <v>5</v>
      </c>
      <c r="W7">
        <f>VLOOKUP($A7,Form_Responses6[],7,FALSE)</f>
        <v>6</v>
      </c>
      <c r="X7">
        <f>VLOOKUP($A7,Form_Responses6[],8,FALSE)</f>
        <v>5</v>
      </c>
    </row>
    <row r="8" spans="1:24" x14ac:dyDescent="0.15">
      <c r="A8" s="39" t="str">
        <f>'Task 1'!A54</f>
        <v>536e</v>
      </c>
      <c r="B8" t="str">
        <f>VLOOKUP('CSV Results'!A8,'Task 1'!$A$48:$B$59,2,FALSE)</f>
        <v>A</v>
      </c>
      <c r="C8" t="str">
        <f>VLOOKUP(A8,'Task 1'!A$74:B$85,2,FALSE)</f>
        <v>None</v>
      </c>
      <c r="D8" s="49">
        <f>VLOOKUP($A8,'Task 1'!$A$16:$V$27,19,FALSE)</f>
        <v>0.26190476190476192</v>
      </c>
      <c r="E8" s="38">
        <f>MINUTE(VLOOKUP($A8,'Task 1'!$A$16:$V$27,22,FALSE))+SECOND(VLOOKUP($A8,'Task 1'!$A$16:$V$27,22,FALSE))/60</f>
        <v>25</v>
      </c>
      <c r="F8" s="15">
        <f>VLOOKUP($A8,'Task 2'!$A$2:$J$12,10,FALSE)</f>
        <v>0</v>
      </c>
      <c r="G8" s="39">
        <f>MINUTE(VLOOKUP($A8,'Task 2'!$A$2:$J$12,2,FALSE))+SECOND(VLOOKUP($A8,'Task 2'!$A$2:$J$12,2,FALSE))/60</f>
        <v>12</v>
      </c>
      <c r="H8" s="15">
        <f>VLOOKUP($A8,'Task 3'!$A$2:$J$12,10,FALSE)</f>
        <v>0</v>
      </c>
      <c r="I8" s="39">
        <f>MINUTE(VLOOKUP($A8,'Task 3'!$A$2:$J$12,2,FALSE))+SECOND(VLOOKUP($A8,'Task 3'!$A$2:$J$12,2,FALSE))/60</f>
        <v>12</v>
      </c>
      <c r="J8" s="15">
        <f>VLOOKUP($A8,Form_Responses[],17,FALSE)</f>
        <v>4</v>
      </c>
      <c r="K8" s="15">
        <f>VLOOKUP($A8,Form_Responses[],18,FALSE)</f>
        <v>4</v>
      </c>
      <c r="L8" s="15">
        <f>VLOOKUP($A8,Form_Responses[],19,FALSE)</f>
        <v>3</v>
      </c>
      <c r="M8" s="15">
        <f>VLOOKUP($A8,Form_Responses[],20,FALSE)</f>
        <v>4</v>
      </c>
      <c r="N8">
        <f>VLOOKUP($A8,Form_Responses[],21,FALSE)</f>
        <v>2</v>
      </c>
      <c r="O8">
        <f>VLOOKUP($A8,Form_Responses8[],4,FALSE)</f>
        <v>6</v>
      </c>
      <c r="P8">
        <f>VLOOKUP($A8,Form_Responses8[],5,FALSE)</f>
        <v>6</v>
      </c>
      <c r="Q8">
        <f>VLOOKUP($A8,Form_Responses8[],6,FALSE)</f>
        <v>2</v>
      </c>
      <c r="R8">
        <f>VLOOKUP($A8,Form_Responses8[],7,FALSE)</f>
        <v>6</v>
      </c>
      <c r="S8">
        <f>VLOOKUP($A8,Form_Responses8[],8,FALSE)</f>
        <v>5</v>
      </c>
      <c r="T8">
        <f>VLOOKUP($A8,Form_Responses6[],4,FALSE)</f>
        <v>6</v>
      </c>
      <c r="U8">
        <f>VLOOKUP($A8,Form_Responses6[],5,FALSE)</f>
        <v>6</v>
      </c>
      <c r="V8">
        <f>VLOOKUP($A8,Form_Responses6[],6,FALSE)</f>
        <v>2</v>
      </c>
      <c r="W8">
        <f>VLOOKUP($A8,Form_Responses6[],7,FALSE)</f>
        <v>6</v>
      </c>
      <c r="X8">
        <f>VLOOKUP($A8,Form_Responses6[],8,FALSE)</f>
        <v>6</v>
      </c>
    </row>
    <row r="9" spans="1:24" x14ac:dyDescent="0.15">
      <c r="A9" s="39" t="str">
        <f>'Task 1'!A55</f>
        <v>5694</v>
      </c>
      <c r="B9" t="str">
        <f>VLOOKUP('CSV Results'!A9,'Task 1'!$A$48:$B$59,2,FALSE)</f>
        <v>B</v>
      </c>
      <c r="C9" t="str">
        <f>VLOOKUP(A9,'Task 1'!A$74:B$85,2,FALSE)</f>
        <v>None</v>
      </c>
      <c r="D9" s="49">
        <f>VLOOKUP($A9,'Task 1'!$A$16:$V$27,19,FALSE)</f>
        <v>0.42857142857142855</v>
      </c>
      <c r="E9" s="38">
        <f>MINUTE(VLOOKUP($A9,'Task 1'!$A$16:$V$27,22,FALSE))+SECOND(VLOOKUP($A9,'Task 1'!$A$16:$V$27,22,FALSE))/60</f>
        <v>25</v>
      </c>
      <c r="F9" s="15">
        <f>VLOOKUP($A9,'Task 2'!$A$2:$J$12,10,FALSE)</f>
        <v>0</v>
      </c>
      <c r="G9" s="39">
        <f>MINUTE(VLOOKUP($A9,'Task 2'!$A$2:$J$12,2,FALSE))+SECOND(VLOOKUP($A9,'Task 2'!$A$2:$J$12,2,FALSE))/60</f>
        <v>12</v>
      </c>
      <c r="H9" s="15">
        <f>VLOOKUP($A9,'Task 3'!$A$2:$J$12,10,FALSE)</f>
        <v>0</v>
      </c>
      <c r="I9" s="39">
        <f>MINUTE(VLOOKUP($A9,'Task 3'!$A$2:$J$12,2,FALSE))+SECOND(VLOOKUP($A9,'Task 3'!$A$2:$J$12,2,FALSE))/60</f>
        <v>12</v>
      </c>
      <c r="J9" s="15">
        <f>VLOOKUP($A9,Form_Responses[],17,FALSE)</f>
        <v>6</v>
      </c>
      <c r="K9" s="15">
        <f>VLOOKUP($A9,Form_Responses[],18,FALSE)</f>
        <v>7</v>
      </c>
      <c r="L9" s="15">
        <f>VLOOKUP($A9,Form_Responses[],19,FALSE)</f>
        <v>6</v>
      </c>
      <c r="M9" s="15">
        <f>VLOOKUP($A9,Form_Responses[],20,FALSE)</f>
        <v>5</v>
      </c>
      <c r="N9">
        <f>VLOOKUP($A9,Form_Responses[],21,FALSE)</f>
        <v>5</v>
      </c>
      <c r="O9">
        <f>VLOOKUP($A9,Form_Responses8[],4,FALSE)</f>
        <v>5</v>
      </c>
      <c r="P9">
        <f>VLOOKUP($A9,Form_Responses8[],5,FALSE)</f>
        <v>7</v>
      </c>
      <c r="Q9">
        <f>VLOOKUP($A9,Form_Responses8[],6,FALSE)</f>
        <v>6</v>
      </c>
      <c r="R9">
        <f>VLOOKUP($A9,Form_Responses8[],7,FALSE)</f>
        <v>5</v>
      </c>
      <c r="S9">
        <f>VLOOKUP($A9,Form_Responses8[],8,FALSE)</f>
        <v>7</v>
      </c>
      <c r="T9">
        <f>VLOOKUP($A9,Form_Responses6[],4,FALSE)</f>
        <v>5</v>
      </c>
      <c r="U9">
        <f>VLOOKUP($A9,Form_Responses6[],5,FALSE)</f>
        <v>6</v>
      </c>
      <c r="V9">
        <f>VLOOKUP($A9,Form_Responses6[],6,FALSE)</f>
        <v>6</v>
      </c>
      <c r="W9">
        <f>VLOOKUP($A9,Form_Responses6[],7,FALSE)</f>
        <v>6</v>
      </c>
      <c r="X9">
        <f>VLOOKUP($A9,Form_Responses6[],8,FALSE)</f>
        <v>6</v>
      </c>
    </row>
    <row r="10" spans="1:24" x14ac:dyDescent="0.15">
      <c r="A10" s="39" t="str">
        <f>'Task 1'!A56</f>
        <v>bdb6</v>
      </c>
      <c r="B10" t="str">
        <f>VLOOKUP('CSV Results'!A10,'Task 1'!$A$48:$B$59,2,FALSE)</f>
        <v>B</v>
      </c>
      <c r="C10" t="str">
        <f>VLOOKUP(A10,'Task 1'!A$74:B$85,2,FALSE)</f>
        <v>Advanced</v>
      </c>
      <c r="D10" s="49">
        <f>VLOOKUP($A10,'Task 1'!$A$16:$V$27,19,FALSE)</f>
        <v>0.75</v>
      </c>
      <c r="E10" s="38">
        <f>MINUTE(VLOOKUP($A10,'Task 1'!$A$16:$V$27,22,FALSE))+SECOND(VLOOKUP($A10,'Task 1'!$A$16:$V$27,22,FALSE))/60</f>
        <v>17</v>
      </c>
      <c r="F10" s="15">
        <f>VLOOKUP($A10,'Task 2'!$A$2:$J$12,10,FALSE)</f>
        <v>0</v>
      </c>
      <c r="G10" s="39">
        <f>MINUTE(VLOOKUP($A10,'Task 2'!$A$2:$J$12,2,FALSE))+SECOND(VLOOKUP($A10,'Task 2'!$A$2:$J$12,2,FALSE))/60</f>
        <v>9.5</v>
      </c>
      <c r="H10" s="15">
        <f>VLOOKUP($A10,'Task 3'!$A$2:$J$12,10,FALSE)</f>
        <v>0</v>
      </c>
      <c r="I10" s="39">
        <f>MINUTE(VLOOKUP($A10,'Task 3'!$A$2:$J$12,2,FALSE))+SECOND(VLOOKUP($A10,'Task 3'!$A$2:$J$12,2,FALSE))/60</f>
        <v>10</v>
      </c>
      <c r="J10" s="15">
        <f>VLOOKUP($A10,Form_Responses[],17,FALSE)</f>
        <v>3</v>
      </c>
      <c r="K10" s="15">
        <f>VLOOKUP($A10,Form_Responses[],18,FALSE)</f>
        <v>2</v>
      </c>
      <c r="L10" s="15">
        <f>VLOOKUP($A10,Form_Responses[],19,FALSE)</f>
        <v>6</v>
      </c>
      <c r="M10" s="15">
        <f>VLOOKUP($A10,Form_Responses[],20,FALSE)</f>
        <v>4</v>
      </c>
      <c r="N10">
        <f>VLOOKUP($A10,Form_Responses[],21,FALSE)</f>
        <v>2</v>
      </c>
      <c r="O10">
        <f>VLOOKUP($A10,Form_Responses8[],4,FALSE)</f>
        <v>6</v>
      </c>
      <c r="P10">
        <f>VLOOKUP($A10,Form_Responses8[],5,FALSE)</f>
        <v>5</v>
      </c>
      <c r="Q10">
        <f>VLOOKUP($A10,Form_Responses8[],6,FALSE)</f>
        <v>3</v>
      </c>
      <c r="R10">
        <f>VLOOKUP($A10,Form_Responses8[],7,FALSE)</f>
        <v>4</v>
      </c>
      <c r="S10">
        <f>VLOOKUP($A10,Form_Responses8[],8,FALSE)</f>
        <v>3</v>
      </c>
      <c r="T10">
        <f>VLOOKUP($A10,Form_Responses6[],4,FALSE)</f>
        <v>6</v>
      </c>
      <c r="U10">
        <f>VLOOKUP($A10,Form_Responses6[],5,FALSE)</f>
        <v>5</v>
      </c>
      <c r="V10">
        <f>VLOOKUP($A10,Form_Responses6[],6,FALSE)</f>
        <v>3</v>
      </c>
      <c r="W10">
        <f>VLOOKUP($A10,Form_Responses6[],7,FALSE)</f>
        <v>5</v>
      </c>
      <c r="X10">
        <f>VLOOKUP($A10,Form_Responses6[],8,FALSE)</f>
        <v>4</v>
      </c>
    </row>
    <row r="11" spans="1:24" x14ac:dyDescent="0.15">
      <c r="A11" s="39" t="str">
        <f>'Task 1'!A57</f>
        <v>bdf7</v>
      </c>
      <c r="B11" t="str">
        <f>VLOOKUP('CSV Results'!A11,'Task 1'!$A$48:$B$59,2,FALSE)</f>
        <v>A</v>
      </c>
      <c r="C11" t="str">
        <f>VLOOKUP(A11,'Task 1'!A$74:B$85,2,FALSE)</f>
        <v>Basic</v>
      </c>
      <c r="D11" s="49">
        <f>VLOOKUP($A11,'Task 1'!$A$16:$V$27,19,FALSE)</f>
        <v>0.21428571428571427</v>
      </c>
      <c r="E11" s="38">
        <f>MINUTE(VLOOKUP($A11,'Task 1'!$A$16:$V$27,22,FALSE))+SECOND(VLOOKUP($A11,'Task 1'!$A$16:$V$27,22,FALSE))/60</f>
        <v>25</v>
      </c>
      <c r="F11" s="15">
        <f>VLOOKUP($A11,'Task 2'!$A$2:$J$12,10,FALSE)</f>
        <v>1</v>
      </c>
      <c r="G11" s="39">
        <f>MINUTE(VLOOKUP($A11,'Task 2'!$A$2:$J$12,2,FALSE))+SECOND(VLOOKUP($A11,'Task 2'!$A$2:$J$12,2,FALSE))/60</f>
        <v>9</v>
      </c>
      <c r="H11" s="15">
        <f>VLOOKUP($A11,'Task 3'!$A$2:$J$12,10,FALSE)</f>
        <v>0</v>
      </c>
      <c r="I11" s="39">
        <f>MINUTE(VLOOKUP($A11,'Task 3'!$A$2:$J$12,2,FALSE))+SECOND(VLOOKUP($A11,'Task 3'!$A$2:$J$12,2,FALSE))/60</f>
        <v>5</v>
      </c>
      <c r="J11" s="15">
        <f>VLOOKUP($A11,Form_Responses[],17,FALSE)</f>
        <v>5</v>
      </c>
      <c r="K11" s="15">
        <f>VLOOKUP($A11,Form_Responses[],18,FALSE)</f>
        <v>6</v>
      </c>
      <c r="L11" s="15">
        <f>VLOOKUP($A11,Form_Responses[],19,FALSE)</f>
        <v>3</v>
      </c>
      <c r="M11" s="15">
        <f>VLOOKUP($A11,Form_Responses[],20,FALSE)</f>
        <v>3</v>
      </c>
      <c r="N11">
        <f>VLOOKUP($A11,Form_Responses[],21,FALSE)</f>
        <v>5</v>
      </c>
      <c r="O11">
        <f>VLOOKUP($A11,Form_Responses8[],4,FALSE)</f>
        <v>3</v>
      </c>
      <c r="P11">
        <f>VLOOKUP($A11,Form_Responses8[],5,FALSE)</f>
        <v>3</v>
      </c>
      <c r="Q11">
        <f>VLOOKUP($A11,Form_Responses8[],6,FALSE)</f>
        <v>4</v>
      </c>
      <c r="R11">
        <f>VLOOKUP($A11,Form_Responses8[],7,FALSE)</f>
        <v>3</v>
      </c>
      <c r="S11">
        <f>VLOOKUP($A11,Form_Responses8[],8,FALSE)</f>
        <v>2</v>
      </c>
      <c r="T11">
        <f>VLOOKUP($A11,Form_Responses6[],4,FALSE)</f>
        <v>2</v>
      </c>
      <c r="U11">
        <f>VLOOKUP($A11,Form_Responses6[],5,FALSE)</f>
        <v>2</v>
      </c>
      <c r="V11">
        <f>VLOOKUP($A11,Form_Responses6[],6,FALSE)</f>
        <v>4</v>
      </c>
      <c r="W11">
        <f>VLOOKUP($A11,Form_Responses6[],7,FALSE)</f>
        <v>3</v>
      </c>
      <c r="X11">
        <f>VLOOKUP($A11,Form_Responses6[],8,FALSE)</f>
        <v>2</v>
      </c>
    </row>
    <row r="12" spans="1:24" x14ac:dyDescent="0.15">
      <c r="A12" s="39" t="str">
        <f>'Task 1'!A58</f>
        <v>18e7</v>
      </c>
      <c r="B12" t="str">
        <f>VLOOKUP('CSV Results'!A12,'Task 1'!$A$48:$B$59,2,FALSE)</f>
        <v>A</v>
      </c>
      <c r="C12" t="str">
        <f>VLOOKUP(A12,'Task 1'!A$74:B$85,2,FALSE)</f>
        <v>Advanced</v>
      </c>
      <c r="D12" s="49">
        <f>VLOOKUP($A12,'Task 1'!$A$16:$V$27,19,FALSE)</f>
        <v>0.69047619047619047</v>
      </c>
      <c r="E12" s="38">
        <f>MINUTE(VLOOKUP($A12,'Task 1'!$A$16:$V$27,22,FALSE))+SECOND(VLOOKUP($A12,'Task 1'!$A$16:$V$27,22,FALSE))/60</f>
        <v>24.5</v>
      </c>
      <c r="F12" s="15" t="e">
        <f>VLOOKUP($A12,'Task 2'!$A$2:$J$12,10,FALSE)</f>
        <v>#N/A</v>
      </c>
      <c r="G12" s="39" t="e">
        <f>MINUTE(VLOOKUP($A12,'Task 2'!$A$2:$J$12,2,FALSE))+SECOND(VLOOKUP($A12,'Task 2'!$A$2:$J$12,2,FALSE))/60</f>
        <v>#N/A</v>
      </c>
      <c r="H12" s="15" t="e">
        <f>VLOOKUP($A12,'Task 3'!$A$2:$J$12,10,FALSE)</f>
        <v>#N/A</v>
      </c>
      <c r="I12" s="39" t="e">
        <f>MINUTE(VLOOKUP($A12,'Task 3'!$A$2:$J$12,2,FALSE))+SECOND(VLOOKUP($A12,'Task 3'!$A$2:$J$12,2,FALSE))/60</f>
        <v>#N/A</v>
      </c>
      <c r="J12" s="15">
        <f>VLOOKUP($A12,Form_Responses[],17,FALSE)</f>
        <v>4</v>
      </c>
      <c r="K12" s="15">
        <f>VLOOKUP($A12,Form_Responses[],18,FALSE)</f>
        <v>4</v>
      </c>
      <c r="L12" s="15">
        <f>VLOOKUP($A12,Form_Responses[],19,FALSE)</f>
        <v>2</v>
      </c>
      <c r="M12" s="15">
        <f>VLOOKUP($A12,Form_Responses[],20,FALSE)</f>
        <v>2</v>
      </c>
      <c r="N12">
        <f>VLOOKUP($A12,Form_Responses[],21,FALSE)</f>
        <v>1</v>
      </c>
      <c r="O12" t="e">
        <f>VLOOKUP($A12,Form_Responses8[],4,FALSE)</f>
        <v>#N/A</v>
      </c>
      <c r="P12" t="e">
        <f>VLOOKUP($A12,Form_Responses8[],5,FALSE)</f>
        <v>#N/A</v>
      </c>
      <c r="Q12" t="e">
        <f>VLOOKUP($A12,Form_Responses8[],6,FALSE)</f>
        <v>#N/A</v>
      </c>
      <c r="R12" t="e">
        <f>VLOOKUP($A12,Form_Responses8[],7,FALSE)</f>
        <v>#N/A</v>
      </c>
      <c r="S12" t="e">
        <f>VLOOKUP($A12,Form_Responses8[],8,FALSE)</f>
        <v>#N/A</v>
      </c>
      <c r="T12" t="e">
        <f>VLOOKUP($A12,Form_Responses6[],4,FALSE)</f>
        <v>#N/A</v>
      </c>
      <c r="U12" t="e">
        <f>VLOOKUP($A12,Form_Responses6[],5,FALSE)</f>
        <v>#N/A</v>
      </c>
      <c r="V12" t="e">
        <f>VLOOKUP($A12,Form_Responses6[],6,FALSE)</f>
        <v>#N/A</v>
      </c>
      <c r="W12" t="e">
        <f>VLOOKUP($A12,Form_Responses6[],7,FALSE)</f>
        <v>#N/A</v>
      </c>
      <c r="X12" t="e">
        <f>VLOOKUP($A12,Form_Responses6[],8,FALSE)</f>
        <v>#N/A</v>
      </c>
    </row>
    <row r="13" spans="1:24" x14ac:dyDescent="0.15">
      <c r="A13" s="39" t="str">
        <f>'Task 1'!A59</f>
        <v>e43c</v>
      </c>
      <c r="B13" t="str">
        <f>VLOOKUP('CSV Results'!A13,'Task 1'!$A$48:$B$59,2,FALSE)</f>
        <v>B</v>
      </c>
      <c r="C13" t="str">
        <f>VLOOKUP(A13,'Task 1'!A$74:B$85,2,FALSE)</f>
        <v>Moderate</v>
      </c>
      <c r="D13" s="49">
        <f>VLOOKUP($A13,'Task 1'!$A$16:$V$27,19,FALSE)</f>
        <v>0.66666666666666663</v>
      </c>
      <c r="E13" s="38">
        <f>MINUTE(VLOOKUP($A13,'Task 1'!$A$16:$V$27,22,FALSE))+SECOND(VLOOKUP($A13,'Task 1'!$A$16:$V$27,22,FALSE))/60</f>
        <v>22.5</v>
      </c>
      <c r="F13" s="15">
        <f>VLOOKUP($A13,'Task 2'!$A$2:$J$12,10,FALSE)</f>
        <v>1</v>
      </c>
      <c r="G13" s="39">
        <f>MINUTE(VLOOKUP($A13,'Task 2'!$A$2:$J$12,2,FALSE))+SECOND(VLOOKUP($A13,'Task 2'!$A$2:$J$12,2,FALSE))/60</f>
        <v>9</v>
      </c>
      <c r="H13" s="15">
        <f>VLOOKUP($A13,'Task 3'!$A$2:$J$12,10,FALSE)</f>
        <v>0</v>
      </c>
      <c r="I13" s="39">
        <f>MINUTE(VLOOKUP($A13,'Task 3'!$A$2:$J$12,2,FALSE))+SECOND(VLOOKUP($A13,'Task 3'!$A$2:$J$12,2,FALSE))/60</f>
        <v>7</v>
      </c>
      <c r="J13" s="15">
        <f>VLOOKUP($A13,Form_Responses[],17,FALSE)</f>
        <v>7</v>
      </c>
      <c r="K13" s="15">
        <f>VLOOKUP($A13,Form_Responses[],18,FALSE)</f>
        <v>5</v>
      </c>
      <c r="L13" s="15">
        <f>VLOOKUP($A13,Form_Responses[],19,FALSE)</f>
        <v>3</v>
      </c>
      <c r="M13" s="15">
        <f>VLOOKUP($A13,Form_Responses[],20,FALSE)</f>
        <v>5</v>
      </c>
      <c r="N13">
        <f>VLOOKUP($A13,Form_Responses[],21,FALSE)</f>
        <v>7</v>
      </c>
      <c r="O13">
        <f>VLOOKUP($A13,Form_Responses8[],4,FALSE)</f>
        <v>7</v>
      </c>
      <c r="P13">
        <f>VLOOKUP($A13,Form_Responses8[],5,FALSE)</f>
        <v>7</v>
      </c>
      <c r="Q13">
        <f>VLOOKUP($A13,Form_Responses8[],6,FALSE)</f>
        <v>4</v>
      </c>
      <c r="R13">
        <f>VLOOKUP($A13,Form_Responses8[],7,FALSE)</f>
        <v>7</v>
      </c>
      <c r="S13">
        <f>VLOOKUP($A13,Form_Responses8[],8,FALSE)</f>
        <v>6</v>
      </c>
      <c r="T13">
        <f>VLOOKUP($A13,Form_Responses6[],4,FALSE)</f>
        <v>5</v>
      </c>
      <c r="U13">
        <f>VLOOKUP($A13,Form_Responses6[],5,FALSE)</f>
        <v>4</v>
      </c>
      <c r="V13">
        <f>VLOOKUP($A13,Form_Responses6[],6,FALSE)</f>
        <v>1</v>
      </c>
      <c r="W13">
        <f>VLOOKUP($A13,Form_Responses6[],7,FALSE)</f>
        <v>5</v>
      </c>
      <c r="X13">
        <f>VLOOKUP($A13,Form_Responses6[],8,FALSE)</f>
        <v>3</v>
      </c>
    </row>
    <row r="14" spans="1:24" x14ac:dyDescent="0.15">
      <c r="A14" s="38"/>
      <c r="F14" s="15"/>
    </row>
    <row r="15" spans="1:24" x14ac:dyDescent="0.15">
      <c r="A15" s="38"/>
    </row>
    <row r="16" spans="1:24" x14ac:dyDescent="0.15">
      <c r="A16" s="38"/>
    </row>
    <row r="17" spans="1:1" x14ac:dyDescent="0.15">
      <c r="A17" s="38"/>
    </row>
    <row r="18" spans="1:1" x14ac:dyDescent="0.15">
      <c r="A18" s="38"/>
    </row>
    <row r="19" spans="1:1" x14ac:dyDescent="0.15">
      <c r="A19" s="38"/>
    </row>
    <row r="20" spans="1:1" x14ac:dyDescent="0.15">
      <c r="A20" s="38"/>
    </row>
    <row r="21" spans="1:1" x14ac:dyDescent="0.15">
      <c r="A21" s="38"/>
    </row>
    <row r="22" spans="1:1" x14ac:dyDescent="0.15">
      <c r="A22" s="38"/>
    </row>
    <row r="23" spans="1:1" x14ac:dyDescent="0.15">
      <c r="A23" s="38"/>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85"/>
  <sheetViews>
    <sheetView zoomScale="110" workbookViewId="0">
      <pane ySplit="1" topLeftCell="A7" activePane="bottomLeft" state="frozen"/>
      <selection pane="bottomLeft" activeCell="Q32" sqref="Q32"/>
    </sheetView>
  </sheetViews>
  <sheetFormatPr baseColWidth="10" defaultColWidth="12.6640625" defaultRowHeight="15.75" customHeight="1" x14ac:dyDescent="0.15"/>
  <cols>
    <col min="1" max="1" width="43.1640625" customWidth="1"/>
    <col min="2" max="2" width="14.1640625" customWidth="1"/>
    <col min="3" max="3" width="32.6640625" customWidth="1"/>
    <col min="4" max="4" width="28.6640625" customWidth="1"/>
    <col min="5" max="16" width="37.6640625" customWidth="1"/>
    <col min="17" max="27" width="18.83203125" customWidth="1"/>
  </cols>
  <sheetData>
    <row r="1" spans="1:23" ht="15.75" customHeight="1" x14ac:dyDescent="0.15">
      <c r="A1" s="1" t="s">
        <v>0</v>
      </c>
      <c r="B1" s="1" t="s">
        <v>153</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2" t="s">
        <v>19</v>
      </c>
    </row>
    <row r="2" spans="1:23" ht="15" customHeight="1" x14ac:dyDescent="0.15">
      <c r="A2" s="60" t="s">
        <v>184</v>
      </c>
      <c r="B2" s="35">
        <v>1.7361111111111112E-2</v>
      </c>
      <c r="C2" s="6" t="s">
        <v>46</v>
      </c>
      <c r="D2" s="6" t="s">
        <v>20</v>
      </c>
      <c r="E2" s="6" t="s">
        <v>47</v>
      </c>
      <c r="F2" s="6" t="s">
        <v>48</v>
      </c>
      <c r="G2" s="6" t="s">
        <v>49</v>
      </c>
      <c r="H2" s="6" t="s">
        <v>50</v>
      </c>
      <c r="I2" s="6" t="s">
        <v>51</v>
      </c>
      <c r="J2" s="6" t="s">
        <v>31</v>
      </c>
      <c r="K2" s="6" t="s">
        <v>52</v>
      </c>
      <c r="L2" s="6" t="s">
        <v>53</v>
      </c>
      <c r="M2" s="6" t="s">
        <v>22</v>
      </c>
      <c r="N2" s="7" t="s">
        <v>23</v>
      </c>
      <c r="O2" s="6"/>
      <c r="P2" s="6" t="s">
        <v>54</v>
      </c>
      <c r="Q2" s="6">
        <v>6</v>
      </c>
      <c r="R2" s="6">
        <v>7</v>
      </c>
      <c r="S2" s="6">
        <v>6</v>
      </c>
      <c r="T2" s="6">
        <v>5</v>
      </c>
      <c r="U2" s="8">
        <v>5</v>
      </c>
    </row>
    <row r="3" spans="1:23" ht="15.75" customHeight="1" x14ac:dyDescent="0.15">
      <c r="A3" s="55" t="s">
        <v>55</v>
      </c>
      <c r="B3" s="36">
        <v>1.7361111111111112E-2</v>
      </c>
      <c r="C3" s="3" t="s">
        <v>56</v>
      </c>
      <c r="D3" s="3" t="s">
        <v>39</v>
      </c>
      <c r="E3" s="3" t="s">
        <v>57</v>
      </c>
      <c r="F3" s="3" t="s">
        <v>58</v>
      </c>
      <c r="G3" s="3" t="s">
        <v>59</v>
      </c>
      <c r="H3" s="3" t="s">
        <v>60</v>
      </c>
      <c r="I3" s="24" t="s">
        <v>61</v>
      </c>
      <c r="J3" s="3" t="s">
        <v>62</v>
      </c>
      <c r="K3" s="3" t="s">
        <v>63</v>
      </c>
      <c r="L3" s="3" t="s">
        <v>21</v>
      </c>
      <c r="M3" s="3" t="s">
        <v>64</v>
      </c>
      <c r="N3" s="4" t="s">
        <v>23</v>
      </c>
      <c r="O3" s="3"/>
      <c r="P3" s="3" t="s">
        <v>65</v>
      </c>
      <c r="Q3" s="3">
        <v>4</v>
      </c>
      <c r="R3" s="3">
        <v>4</v>
      </c>
      <c r="S3" s="3">
        <v>3</v>
      </c>
      <c r="T3" s="3">
        <v>4</v>
      </c>
      <c r="U3" s="5">
        <v>3</v>
      </c>
    </row>
    <row r="4" spans="1:23" ht="15.75" customHeight="1" x14ac:dyDescent="0.15">
      <c r="A4" s="33" t="s">
        <v>166</v>
      </c>
      <c r="B4" s="34">
        <v>1.7013888888888887E-2</v>
      </c>
      <c r="C4" s="29" t="s">
        <v>167</v>
      </c>
      <c r="D4" s="29" t="s">
        <v>39</v>
      </c>
      <c r="E4" s="29" t="s">
        <v>168</v>
      </c>
      <c r="F4" s="29" t="s">
        <v>169</v>
      </c>
      <c r="G4" s="29" t="s">
        <v>170</v>
      </c>
      <c r="H4" s="29" t="s">
        <v>171</v>
      </c>
      <c r="I4" s="30" t="s">
        <v>172</v>
      </c>
      <c r="J4" s="29" t="s">
        <v>173</v>
      </c>
      <c r="K4" s="29" t="s">
        <v>174</v>
      </c>
      <c r="L4" s="29" t="s">
        <v>33</v>
      </c>
      <c r="M4" s="29" t="s">
        <v>175</v>
      </c>
      <c r="N4" s="31" t="s">
        <v>23</v>
      </c>
      <c r="O4" s="29" t="s">
        <v>176</v>
      </c>
      <c r="P4" s="29" t="s">
        <v>177</v>
      </c>
      <c r="Q4" s="29">
        <v>4</v>
      </c>
      <c r="R4" s="29">
        <v>4</v>
      </c>
      <c r="S4" s="29">
        <v>2</v>
      </c>
      <c r="T4" s="29">
        <v>2</v>
      </c>
      <c r="U4" s="32">
        <v>1</v>
      </c>
    </row>
    <row r="5" spans="1:23" ht="15.75" customHeight="1" x14ac:dyDescent="0.15">
      <c r="A5" s="54" t="s">
        <v>66</v>
      </c>
      <c r="B5" s="35">
        <v>1.7013888888888887E-2</v>
      </c>
      <c r="C5" s="6" t="s">
        <v>67</v>
      </c>
      <c r="D5" s="6" t="s">
        <v>20</v>
      </c>
      <c r="E5" s="6" t="s">
        <v>68</v>
      </c>
      <c r="F5" s="6" t="s">
        <v>69</v>
      </c>
      <c r="G5" s="6" t="s">
        <v>70</v>
      </c>
      <c r="H5" s="6" t="s">
        <v>71</v>
      </c>
      <c r="I5" s="6" t="s">
        <v>72</v>
      </c>
      <c r="J5" s="6" t="s">
        <v>73</v>
      </c>
      <c r="K5" s="6" t="s">
        <v>74</v>
      </c>
      <c r="L5" s="6" t="s">
        <v>33</v>
      </c>
      <c r="M5" s="6" t="s">
        <v>75</v>
      </c>
      <c r="N5" s="7" t="s">
        <v>23</v>
      </c>
      <c r="O5" s="6" t="s">
        <v>76</v>
      </c>
      <c r="P5" s="6" t="s">
        <v>77</v>
      </c>
      <c r="Q5" s="6">
        <v>6</v>
      </c>
      <c r="R5" s="6">
        <v>5</v>
      </c>
      <c r="S5" s="6">
        <v>2</v>
      </c>
      <c r="T5" s="6">
        <v>5</v>
      </c>
      <c r="U5" s="8">
        <v>1</v>
      </c>
    </row>
    <row r="6" spans="1:23" ht="15.75" customHeight="1" x14ac:dyDescent="0.15">
      <c r="A6" s="56" t="s">
        <v>92</v>
      </c>
      <c r="B6" s="21">
        <v>1.7361111111111112E-2</v>
      </c>
      <c r="C6" s="3" t="s">
        <v>93</v>
      </c>
      <c r="D6" s="3" t="s">
        <v>20</v>
      </c>
      <c r="E6" s="3" t="s">
        <v>94</v>
      </c>
      <c r="F6" s="3" t="s">
        <v>95</v>
      </c>
      <c r="G6" s="3" t="s">
        <v>96</v>
      </c>
      <c r="H6" s="3" t="s">
        <v>97</v>
      </c>
      <c r="I6" s="24" t="s">
        <v>98</v>
      </c>
      <c r="J6" s="3" t="s">
        <v>99</v>
      </c>
      <c r="K6" s="24" t="s">
        <v>100</v>
      </c>
      <c r="L6" s="3" t="s">
        <v>33</v>
      </c>
      <c r="M6" s="3" t="s">
        <v>34</v>
      </c>
      <c r="N6" s="22" t="s">
        <v>23</v>
      </c>
      <c r="O6" s="24" t="s">
        <v>101</v>
      </c>
      <c r="P6" s="3" t="s">
        <v>102</v>
      </c>
      <c r="Q6" s="3">
        <v>4</v>
      </c>
      <c r="R6" s="3">
        <v>5</v>
      </c>
      <c r="S6" s="3">
        <v>1</v>
      </c>
      <c r="T6" s="3">
        <v>3</v>
      </c>
      <c r="U6" s="5">
        <v>1</v>
      </c>
    </row>
    <row r="7" spans="1:23" ht="15.75" customHeight="1" x14ac:dyDescent="0.15">
      <c r="A7" s="54" t="s">
        <v>182</v>
      </c>
      <c r="B7" s="35">
        <v>1.6666666666666666E-2</v>
      </c>
      <c r="C7" s="6" t="s">
        <v>25</v>
      </c>
      <c r="D7" s="6" t="s">
        <v>20</v>
      </c>
      <c r="E7" s="6" t="s">
        <v>26</v>
      </c>
      <c r="F7" s="6" t="s">
        <v>27</v>
      </c>
      <c r="G7" s="6" t="s">
        <v>28</v>
      </c>
      <c r="H7" s="6" t="s">
        <v>29</v>
      </c>
      <c r="I7" s="6" t="s">
        <v>30</v>
      </c>
      <c r="J7" s="6" t="s">
        <v>31</v>
      </c>
      <c r="K7" s="6" t="s">
        <v>32</v>
      </c>
      <c r="L7" s="6" t="s">
        <v>33</v>
      </c>
      <c r="M7" s="6" t="s">
        <v>34</v>
      </c>
      <c r="N7" s="7" t="s">
        <v>23</v>
      </c>
      <c r="O7" s="14" t="s">
        <v>35</v>
      </c>
      <c r="P7" s="6" t="s">
        <v>36</v>
      </c>
      <c r="Q7" s="6">
        <v>6</v>
      </c>
      <c r="R7" s="6">
        <v>5</v>
      </c>
      <c r="S7" s="6">
        <v>2</v>
      </c>
      <c r="T7" s="6">
        <v>6</v>
      </c>
      <c r="U7" s="8">
        <v>5</v>
      </c>
    </row>
    <row r="8" spans="1:23" ht="15.75" customHeight="1" x14ac:dyDescent="0.15">
      <c r="A8" s="56" t="s">
        <v>183</v>
      </c>
      <c r="B8" s="21">
        <v>1.7361111111111112E-2</v>
      </c>
      <c r="C8" s="3" t="s">
        <v>38</v>
      </c>
      <c r="D8" s="3" t="s">
        <v>39</v>
      </c>
      <c r="E8" s="3" t="s">
        <v>40</v>
      </c>
      <c r="F8" s="3" t="s">
        <v>41</v>
      </c>
      <c r="G8" s="3" t="s">
        <v>42</v>
      </c>
      <c r="H8" s="3" t="s">
        <v>43</v>
      </c>
      <c r="I8" s="3" t="s">
        <v>44</v>
      </c>
      <c r="J8" s="4" t="s">
        <v>45</v>
      </c>
      <c r="K8" s="3"/>
      <c r="L8" s="3"/>
      <c r="M8" s="3"/>
      <c r="N8" s="3"/>
      <c r="O8" s="3"/>
      <c r="P8" s="3"/>
      <c r="Q8" s="3">
        <v>4</v>
      </c>
      <c r="R8" s="3">
        <v>4</v>
      </c>
      <c r="S8" s="3">
        <v>3</v>
      </c>
      <c r="T8" s="3">
        <v>4</v>
      </c>
      <c r="U8" s="5">
        <v>2</v>
      </c>
    </row>
    <row r="9" spans="1:23" ht="15.75" customHeight="1" x14ac:dyDescent="0.15">
      <c r="A9" s="54" t="s">
        <v>121</v>
      </c>
      <c r="B9" s="35">
        <v>1.7361111111111112E-2</v>
      </c>
      <c r="C9" s="6"/>
      <c r="D9" s="6" t="s">
        <v>20</v>
      </c>
      <c r="E9" s="6" t="s">
        <v>154</v>
      </c>
      <c r="F9" s="6" t="s">
        <v>155</v>
      </c>
      <c r="G9" s="6" t="s">
        <v>156</v>
      </c>
      <c r="H9" s="6"/>
      <c r="I9" s="6"/>
      <c r="J9" s="6"/>
      <c r="K9" s="6"/>
      <c r="L9" s="6"/>
      <c r="M9" s="6"/>
      <c r="N9" s="6" t="s">
        <v>122</v>
      </c>
      <c r="O9" s="6" t="s">
        <v>157</v>
      </c>
      <c r="P9" s="6"/>
      <c r="Q9" s="6">
        <v>3</v>
      </c>
      <c r="R9" s="6">
        <v>6</v>
      </c>
      <c r="S9" s="6">
        <v>6</v>
      </c>
      <c r="T9" s="6">
        <v>5</v>
      </c>
      <c r="U9" s="8">
        <v>4</v>
      </c>
    </row>
    <row r="10" spans="1:23" ht="15.75" customHeight="1" x14ac:dyDescent="0.15">
      <c r="A10" s="56" t="s">
        <v>78</v>
      </c>
      <c r="B10" s="21">
        <v>1.1805555555555555E-2</v>
      </c>
      <c r="C10" s="3" t="s">
        <v>79</v>
      </c>
      <c r="D10" s="3" t="s">
        <v>20</v>
      </c>
      <c r="E10" s="3" t="s">
        <v>80</v>
      </c>
      <c r="F10" s="3" t="s">
        <v>81</v>
      </c>
      <c r="G10" s="3" t="s">
        <v>82</v>
      </c>
      <c r="H10" s="3" t="s">
        <v>83</v>
      </c>
      <c r="I10" s="3" t="s">
        <v>84</v>
      </c>
      <c r="J10" s="3" t="s">
        <v>85</v>
      </c>
      <c r="K10" s="3" t="s">
        <v>86</v>
      </c>
      <c r="L10" s="3" t="s">
        <v>87</v>
      </c>
      <c r="M10" s="3" t="s">
        <v>88</v>
      </c>
      <c r="N10" s="3" t="s">
        <v>89</v>
      </c>
      <c r="O10" s="3" t="s">
        <v>90</v>
      </c>
      <c r="P10" s="3" t="s">
        <v>91</v>
      </c>
      <c r="Q10" s="3">
        <v>3</v>
      </c>
      <c r="R10" s="3">
        <v>2</v>
      </c>
      <c r="S10" s="3">
        <v>6</v>
      </c>
      <c r="T10" s="3">
        <v>4</v>
      </c>
      <c r="U10" s="5">
        <v>2</v>
      </c>
    </row>
    <row r="11" spans="1:23" ht="15.75" customHeight="1" x14ac:dyDescent="0.15">
      <c r="A11" s="54" t="s">
        <v>113</v>
      </c>
      <c r="B11" s="35">
        <v>1.7361111111111112E-2</v>
      </c>
      <c r="C11" s="6" t="s">
        <v>114</v>
      </c>
      <c r="D11" s="6" t="s">
        <v>20</v>
      </c>
      <c r="E11" s="6" t="s">
        <v>115</v>
      </c>
      <c r="F11" s="6" t="s">
        <v>116</v>
      </c>
      <c r="G11" s="6" t="s">
        <v>117</v>
      </c>
      <c r="H11" s="6" t="s">
        <v>118</v>
      </c>
      <c r="I11" s="14" t="s">
        <v>119</v>
      </c>
      <c r="J11" s="7" t="s">
        <v>23</v>
      </c>
      <c r="K11" s="6" t="s">
        <v>22</v>
      </c>
      <c r="L11" s="6" t="s">
        <v>120</v>
      </c>
      <c r="M11" s="6"/>
      <c r="N11" s="6"/>
      <c r="O11" s="6"/>
      <c r="P11" s="6"/>
      <c r="Q11" s="6">
        <v>5</v>
      </c>
      <c r="R11" s="6">
        <v>6</v>
      </c>
      <c r="S11" s="6">
        <v>3</v>
      </c>
      <c r="T11" s="6">
        <v>3</v>
      </c>
      <c r="U11" s="8">
        <v>5</v>
      </c>
    </row>
    <row r="12" spans="1:23" ht="15.75" customHeight="1" x14ac:dyDescent="0.15">
      <c r="A12" s="56" t="s">
        <v>103</v>
      </c>
      <c r="B12" s="21">
        <v>1.5625E-2</v>
      </c>
      <c r="C12" s="3" t="s">
        <v>104</v>
      </c>
      <c r="D12" s="3" t="s">
        <v>20</v>
      </c>
      <c r="E12" s="3" t="s">
        <v>105</v>
      </c>
      <c r="F12" s="3" t="s">
        <v>106</v>
      </c>
      <c r="G12" s="3" t="s">
        <v>107</v>
      </c>
      <c r="H12" s="3" t="s">
        <v>108</v>
      </c>
      <c r="I12" s="3" t="s">
        <v>109</v>
      </c>
      <c r="J12" s="3" t="s">
        <v>89</v>
      </c>
      <c r="K12" s="3" t="s">
        <v>110</v>
      </c>
      <c r="L12" s="3" t="s">
        <v>33</v>
      </c>
      <c r="M12" s="3" t="s">
        <v>34</v>
      </c>
      <c r="N12" s="3" t="s">
        <v>89</v>
      </c>
      <c r="O12" s="3" t="s">
        <v>111</v>
      </c>
      <c r="P12" s="3" t="s">
        <v>112</v>
      </c>
      <c r="Q12" s="3">
        <v>7</v>
      </c>
      <c r="R12" s="3">
        <v>5</v>
      </c>
      <c r="S12" s="3">
        <v>3</v>
      </c>
      <c r="T12" s="3">
        <v>5</v>
      </c>
      <c r="U12" s="5">
        <v>7</v>
      </c>
    </row>
    <row r="13" spans="1:23" ht="15.75" customHeight="1" x14ac:dyDescent="0.15">
      <c r="A13" s="57" t="s">
        <v>123</v>
      </c>
      <c r="B13" s="37">
        <v>1.7361111111111112E-2</v>
      </c>
      <c r="C13" s="10" t="s">
        <v>124</v>
      </c>
      <c r="D13" s="10" t="s">
        <v>20</v>
      </c>
      <c r="E13" s="11" t="s">
        <v>125</v>
      </c>
      <c r="F13" s="10" t="s">
        <v>126</v>
      </c>
      <c r="G13" s="10"/>
      <c r="H13" s="10" t="s">
        <v>127</v>
      </c>
      <c r="I13" s="10" t="s">
        <v>128</v>
      </c>
      <c r="J13" s="10" t="s">
        <v>129</v>
      </c>
      <c r="K13" s="10" t="s">
        <v>130</v>
      </c>
      <c r="L13" s="10" t="s">
        <v>131</v>
      </c>
      <c r="M13" s="10" t="s">
        <v>34</v>
      </c>
      <c r="N13" s="12" t="s">
        <v>23</v>
      </c>
      <c r="O13" s="10"/>
      <c r="P13" s="10"/>
      <c r="Q13" s="10">
        <v>6</v>
      </c>
      <c r="R13" s="10">
        <v>5</v>
      </c>
      <c r="S13" s="10">
        <v>4</v>
      </c>
      <c r="T13" s="10">
        <v>5</v>
      </c>
      <c r="U13" s="13">
        <v>3</v>
      </c>
    </row>
    <row r="14" spans="1:23" ht="15.75" customHeight="1" thickBot="1" x14ac:dyDescent="0.2">
      <c r="A14" s="39" t="s">
        <v>222</v>
      </c>
      <c r="B14" s="62">
        <v>2</v>
      </c>
      <c r="C14">
        <v>3</v>
      </c>
      <c r="D14">
        <v>4</v>
      </c>
      <c r="E14">
        <v>5</v>
      </c>
      <c r="F14">
        <v>6</v>
      </c>
      <c r="G14">
        <v>7</v>
      </c>
      <c r="H14">
        <v>8</v>
      </c>
      <c r="I14">
        <v>9</v>
      </c>
      <c r="J14">
        <v>10</v>
      </c>
      <c r="K14">
        <v>11</v>
      </c>
      <c r="L14">
        <v>12</v>
      </c>
      <c r="M14">
        <v>13</v>
      </c>
      <c r="N14">
        <v>14</v>
      </c>
      <c r="O14">
        <v>15</v>
      </c>
      <c r="P14">
        <v>16</v>
      </c>
    </row>
    <row r="15" spans="1:23" ht="15.75" customHeight="1" x14ac:dyDescent="0.15">
      <c r="A15" s="23" t="s">
        <v>0</v>
      </c>
      <c r="B15" s="23"/>
      <c r="C15" s="23" t="str">
        <f>C1</f>
        <v>What is the primary goal of the agent?</v>
      </c>
      <c r="D15" s="23" t="str">
        <f t="shared" ref="D15:E15" si="0">D1</f>
        <v>Did the agent complete its task?</v>
      </c>
      <c r="E15" s="23" t="str">
        <f t="shared" si="0"/>
        <v>What are the main action categories performed by the agent?</v>
      </c>
      <c r="F15" s="23" t="str">
        <f>F1</f>
        <v>What is the most frequently performed action?</v>
      </c>
      <c r="G15" s="23" t="str">
        <f t="shared" ref="G15:P15" si="1">G1</f>
        <v>What is the key challenge or issue the agent encounters during the task?</v>
      </c>
      <c r="H15" s="23" t="str">
        <f>H1</f>
        <v>Does the agent exhibit any repetitive behavior? If so, describe one example.</v>
      </c>
      <c r="I15" s="23" t="str">
        <f t="shared" si="1"/>
        <v>What specific changes does the agent make to the cli.py file when it first modifies it?</v>
      </c>
      <c r="J15" s="23" t="str">
        <f t="shared" si="1"/>
        <v>Which specific files does the agent modify to implement the income report generation feature?</v>
      </c>
      <c r="K15" s="23" t="str">
        <f t="shared" si="1"/>
        <v>What feedback does the agent receive after its first attempt to run the test script for the finance tracker, and how does it influence the next action?</v>
      </c>
      <c r="L15" s="23" t="str">
        <f t="shared" si="1"/>
        <v>Which Python packages does the agent install over the course of the run?</v>
      </c>
      <c r="M15" s="23" t="str">
        <f t="shared" si="1"/>
        <v>What feedback does the agent receive from running the test script for the finance tracker after it has solved all import issues?</v>
      </c>
      <c r="N15" s="23" t="str">
        <f t="shared" si="1"/>
        <v>Which file is the agent primarily focused on modifying towards the end of the run?</v>
      </c>
      <c r="O15" s="23" t="str">
        <f t="shared" si="1"/>
        <v>Does the agent ever attempt to make the same change twice before reevaluating the tests? If so, describe one instance.</v>
      </c>
      <c r="P15" s="23" t="str">
        <f t="shared" si="1"/>
        <v>Analyze the final four changes the agent makes to the repository. How do these changes relate to each other?</v>
      </c>
      <c r="Q15" s="15" t="s">
        <v>263</v>
      </c>
      <c r="R15" s="40" t="s">
        <v>178</v>
      </c>
      <c r="S15" s="41" t="s">
        <v>164</v>
      </c>
      <c r="T15" s="41" t="s">
        <v>0</v>
      </c>
      <c r="U15" s="41" t="s">
        <v>179</v>
      </c>
      <c r="V15" s="42" t="s">
        <v>153</v>
      </c>
      <c r="W15" s="23" t="s">
        <v>228</v>
      </c>
    </row>
    <row r="16" spans="1:23" ht="15.75" customHeight="1" x14ac:dyDescent="0.15">
      <c r="A16" s="58" t="s">
        <v>184</v>
      </c>
      <c r="B16" s="70" t="s">
        <v>185</v>
      </c>
      <c r="C16">
        <v>3</v>
      </c>
      <c r="D16">
        <v>1</v>
      </c>
      <c r="E16">
        <v>1</v>
      </c>
      <c r="F16">
        <v>0</v>
      </c>
      <c r="G16">
        <v>0</v>
      </c>
      <c r="H16">
        <v>0</v>
      </c>
      <c r="I16">
        <v>0</v>
      </c>
      <c r="J16">
        <v>0</v>
      </c>
      <c r="K16">
        <v>1</v>
      </c>
      <c r="L16">
        <v>1</v>
      </c>
      <c r="M16">
        <v>1</v>
      </c>
      <c r="N16">
        <v>1</v>
      </c>
      <c r="O16">
        <v>0</v>
      </c>
      <c r="P16">
        <v>0</v>
      </c>
      <c r="Q16" s="79">
        <f>SUM(C16:P16)</f>
        <v>9</v>
      </c>
      <c r="R16" s="74" cm="1">
        <f t="array" ref="R16">SUMPRODUCT($C16:P16, VLOOKUP($C$15:P$15,$A$30:$C$43,3,FALSE))</f>
        <v>36</v>
      </c>
      <c r="S16" s="75">
        <f>R16/$D$45</f>
        <v>0.42857142857142855</v>
      </c>
      <c r="T16" s="46" t="str">
        <f t="shared" ref="T16:T27" si="2">A16</f>
        <v>5694</v>
      </c>
      <c r="U16" t="str">
        <f>VLOOKUP(T16,$A$48:$B$59,2,FALSE)</f>
        <v>B</v>
      </c>
      <c r="V16" s="50">
        <v>1.7361111111111112E-2</v>
      </c>
      <c r="W16" s="78">
        <f>COUNTIF(R$16:R$27,"&gt;"&amp;R16)/COUNTA(R$16:R$27)</f>
        <v>0.66666666666666663</v>
      </c>
    </row>
    <row r="17" spans="1:23" ht="15.75" customHeight="1" x14ac:dyDescent="0.15">
      <c r="A17" s="58" t="s">
        <v>55</v>
      </c>
      <c r="B17" s="70"/>
      <c r="C17">
        <v>2</v>
      </c>
      <c r="D17">
        <v>0</v>
      </c>
      <c r="E17">
        <v>0</v>
      </c>
      <c r="F17">
        <v>1</v>
      </c>
      <c r="G17">
        <v>1</v>
      </c>
      <c r="H17">
        <v>1</v>
      </c>
      <c r="I17">
        <v>1</v>
      </c>
      <c r="J17">
        <v>2</v>
      </c>
      <c r="K17">
        <v>2</v>
      </c>
      <c r="L17">
        <v>1</v>
      </c>
      <c r="M17">
        <v>1</v>
      </c>
      <c r="N17">
        <v>1</v>
      </c>
      <c r="O17">
        <v>0</v>
      </c>
      <c r="P17">
        <v>0</v>
      </c>
      <c r="Q17" s="79">
        <f t="shared" ref="Q17:Q27" si="3">SUM(C17:P17)</f>
        <v>13</v>
      </c>
      <c r="R17" s="74" cm="1">
        <f t="array" ref="R17">SUMPRODUCT($C17:P17, VLOOKUP($C$15:P$15,$A$30:$C$43,3,FALSE))</f>
        <v>55</v>
      </c>
      <c r="S17" s="75">
        <f t="shared" ref="S17:S27" si="4">R17/$D$45</f>
        <v>0.65476190476190477</v>
      </c>
      <c r="T17" s="46" t="str">
        <f t="shared" si="2"/>
        <v>0078</v>
      </c>
      <c r="U17" t="str">
        <f t="shared" ref="U17:U27" si="5">VLOOKUP(T17,$A$48:$B$59,2,FALSE)</f>
        <v>A</v>
      </c>
      <c r="V17" s="50">
        <v>1.7361111111111112E-2</v>
      </c>
      <c r="W17" s="78">
        <f t="shared" ref="W17:W27" si="6">COUNTIF(R$16:R$27,"&gt;"&amp;R17)/COUNTA(R$16:R$27)</f>
        <v>0.5</v>
      </c>
    </row>
    <row r="18" spans="1:23" ht="15.75" customHeight="1" x14ac:dyDescent="0.15">
      <c r="A18" s="58" t="s">
        <v>166</v>
      </c>
      <c r="B18" s="70"/>
      <c r="C18">
        <v>2</v>
      </c>
      <c r="D18">
        <v>0</v>
      </c>
      <c r="E18">
        <v>2</v>
      </c>
      <c r="F18">
        <v>1</v>
      </c>
      <c r="G18">
        <v>1</v>
      </c>
      <c r="H18">
        <v>2</v>
      </c>
      <c r="I18">
        <v>0</v>
      </c>
      <c r="J18">
        <v>1</v>
      </c>
      <c r="K18">
        <v>2</v>
      </c>
      <c r="L18">
        <v>1</v>
      </c>
      <c r="M18">
        <v>1</v>
      </c>
      <c r="N18">
        <v>1</v>
      </c>
      <c r="O18">
        <v>0</v>
      </c>
      <c r="P18">
        <v>1</v>
      </c>
      <c r="Q18" s="79">
        <f t="shared" si="3"/>
        <v>15</v>
      </c>
      <c r="R18" s="74" cm="1">
        <f t="array" ref="R18">SUMPRODUCT($C18:P18, VLOOKUP($C$15:P$15,$A$30:$C$43,3,FALSE))</f>
        <v>58</v>
      </c>
      <c r="S18" s="75">
        <f t="shared" si="4"/>
        <v>0.69047619047619047</v>
      </c>
      <c r="T18" s="46" t="str">
        <f t="shared" si="2"/>
        <v>18e7</v>
      </c>
      <c r="U18" t="str">
        <f t="shared" si="5"/>
        <v>A</v>
      </c>
      <c r="V18" s="50">
        <v>1.7013888888888887E-2</v>
      </c>
      <c r="W18" s="78">
        <f t="shared" si="6"/>
        <v>0.33333333333333331</v>
      </c>
    </row>
    <row r="19" spans="1:23" ht="15.75" customHeight="1" x14ac:dyDescent="0.15">
      <c r="A19" s="38" t="s">
        <v>66</v>
      </c>
      <c r="B19" s="70"/>
      <c r="C19">
        <v>1</v>
      </c>
      <c r="D19">
        <v>1</v>
      </c>
      <c r="E19">
        <v>2</v>
      </c>
      <c r="F19">
        <v>1</v>
      </c>
      <c r="G19">
        <v>1</v>
      </c>
      <c r="H19">
        <v>1</v>
      </c>
      <c r="I19">
        <v>1</v>
      </c>
      <c r="J19">
        <v>1</v>
      </c>
      <c r="K19">
        <v>2</v>
      </c>
      <c r="L19">
        <v>1</v>
      </c>
      <c r="M19">
        <v>1</v>
      </c>
      <c r="N19">
        <v>1</v>
      </c>
      <c r="O19">
        <v>1</v>
      </c>
      <c r="P19">
        <v>1</v>
      </c>
      <c r="Q19" s="79">
        <f t="shared" si="3"/>
        <v>16</v>
      </c>
      <c r="R19" s="74" cm="1">
        <f t="array" ref="R19">SUMPRODUCT($C19:P19, VLOOKUP($C$15:P$15,$A$30:$C$43,3,FALSE))</f>
        <v>71</v>
      </c>
      <c r="S19" s="75">
        <f t="shared" si="4"/>
        <v>0.84523809523809523</v>
      </c>
      <c r="T19" s="46" t="str">
        <f t="shared" si="2"/>
        <v>1d20</v>
      </c>
      <c r="U19" t="str">
        <f t="shared" si="5"/>
        <v>A</v>
      </c>
      <c r="V19" s="50">
        <v>1.7013888888888887E-2</v>
      </c>
      <c r="W19" s="78">
        <f t="shared" si="6"/>
        <v>8.3333333333333329E-2</v>
      </c>
    </row>
    <row r="20" spans="1:23" ht="15.75" customHeight="1" x14ac:dyDescent="0.15">
      <c r="A20" s="38" t="s">
        <v>92</v>
      </c>
      <c r="B20" s="70"/>
      <c r="C20">
        <v>1</v>
      </c>
      <c r="D20">
        <v>1</v>
      </c>
      <c r="E20">
        <v>2</v>
      </c>
      <c r="F20">
        <v>1</v>
      </c>
      <c r="G20">
        <v>1</v>
      </c>
      <c r="H20">
        <v>2</v>
      </c>
      <c r="I20">
        <v>1</v>
      </c>
      <c r="J20">
        <v>1</v>
      </c>
      <c r="K20">
        <v>2</v>
      </c>
      <c r="L20">
        <v>1</v>
      </c>
      <c r="M20">
        <v>1</v>
      </c>
      <c r="N20">
        <v>1</v>
      </c>
      <c r="O20">
        <v>1</v>
      </c>
      <c r="P20">
        <v>1</v>
      </c>
      <c r="Q20" s="79">
        <f t="shared" si="3"/>
        <v>17</v>
      </c>
      <c r="R20" s="74" cm="1">
        <f t="array" ref="R20">SUMPRODUCT($C20:P20, VLOOKUP($C$15:P$15,$A$30:$C$43,3,FALSE))</f>
        <v>74</v>
      </c>
      <c r="S20" s="75">
        <f t="shared" si="4"/>
        <v>0.88095238095238093</v>
      </c>
      <c r="T20" s="46" t="str">
        <f t="shared" si="2"/>
        <v>33c6</v>
      </c>
      <c r="U20" t="str">
        <f t="shared" si="5"/>
        <v>A</v>
      </c>
      <c r="V20" s="50">
        <v>1.7361111111111112E-2</v>
      </c>
      <c r="W20" s="78">
        <f t="shared" si="6"/>
        <v>0</v>
      </c>
    </row>
    <row r="21" spans="1:23" ht="15.75" customHeight="1" x14ac:dyDescent="0.15">
      <c r="A21" s="38" t="s">
        <v>24</v>
      </c>
      <c r="B21" s="70"/>
      <c r="C21">
        <v>2</v>
      </c>
      <c r="D21">
        <v>1</v>
      </c>
      <c r="E21">
        <v>2</v>
      </c>
      <c r="F21">
        <v>1</v>
      </c>
      <c r="G21">
        <v>1</v>
      </c>
      <c r="H21">
        <v>2</v>
      </c>
      <c r="I21">
        <v>0</v>
      </c>
      <c r="J21">
        <v>0</v>
      </c>
      <c r="K21">
        <v>2</v>
      </c>
      <c r="L21">
        <v>1</v>
      </c>
      <c r="M21">
        <v>1</v>
      </c>
      <c r="N21">
        <v>1</v>
      </c>
      <c r="O21">
        <v>1</v>
      </c>
      <c r="P21">
        <v>1</v>
      </c>
      <c r="Q21" s="79">
        <f t="shared" si="3"/>
        <v>16</v>
      </c>
      <c r="R21" s="74" cm="1">
        <f t="array" ref="R21">SUMPRODUCT($C21:P21, VLOOKUP($C$15:P$15,$A$30:$C$43,3,FALSE))</f>
        <v>67</v>
      </c>
      <c r="S21" s="75">
        <f t="shared" si="4"/>
        <v>0.79761904761904767</v>
      </c>
      <c r="T21" s="46" t="str">
        <f t="shared" si="2"/>
        <v>49F7</v>
      </c>
      <c r="U21" t="str">
        <f t="shared" si="5"/>
        <v>B</v>
      </c>
      <c r="V21" s="50">
        <v>1.6666666666666666E-2</v>
      </c>
      <c r="W21" s="78">
        <f t="shared" si="6"/>
        <v>0.16666666666666666</v>
      </c>
    </row>
    <row r="22" spans="1:23" ht="15.75" customHeight="1" x14ac:dyDescent="0.15">
      <c r="A22" s="38" t="s">
        <v>37</v>
      </c>
      <c r="B22" s="70"/>
      <c r="C22">
        <v>2</v>
      </c>
      <c r="D22">
        <v>0</v>
      </c>
      <c r="E22">
        <v>2</v>
      </c>
      <c r="F22">
        <v>0</v>
      </c>
      <c r="G22">
        <v>1</v>
      </c>
      <c r="H22">
        <v>0</v>
      </c>
      <c r="I22">
        <v>1</v>
      </c>
      <c r="J22">
        <v>0</v>
      </c>
      <c r="K22">
        <v>0</v>
      </c>
      <c r="L22">
        <v>0</v>
      </c>
      <c r="M22">
        <v>0</v>
      </c>
      <c r="N22">
        <v>0</v>
      </c>
      <c r="O22">
        <v>0</v>
      </c>
      <c r="P22">
        <v>0</v>
      </c>
      <c r="Q22" s="79">
        <f t="shared" si="3"/>
        <v>6</v>
      </c>
      <c r="R22" s="74" cm="1">
        <f t="array" ref="R22">SUMPRODUCT($C22:P22, VLOOKUP($C$15:P$15,$A$30:$C$43,3,FALSE))</f>
        <v>22</v>
      </c>
      <c r="S22" s="75">
        <f t="shared" si="4"/>
        <v>0.26190476190476192</v>
      </c>
      <c r="T22" s="46" t="str">
        <f t="shared" si="2"/>
        <v>536E</v>
      </c>
      <c r="U22" t="str">
        <f t="shared" si="5"/>
        <v>A</v>
      </c>
      <c r="V22" s="50">
        <v>1.7361111111111112E-2</v>
      </c>
      <c r="W22" s="78">
        <f t="shared" si="6"/>
        <v>0.75</v>
      </c>
    </row>
    <row r="23" spans="1:23" ht="15.75" customHeight="1" x14ac:dyDescent="0.15">
      <c r="A23" s="38" t="s">
        <v>121</v>
      </c>
      <c r="B23" s="70"/>
      <c r="C23">
        <v>0</v>
      </c>
      <c r="D23">
        <v>1</v>
      </c>
      <c r="E23">
        <v>0</v>
      </c>
      <c r="F23">
        <v>0</v>
      </c>
      <c r="G23">
        <v>0</v>
      </c>
      <c r="H23">
        <v>0</v>
      </c>
      <c r="I23">
        <v>0</v>
      </c>
      <c r="J23">
        <v>0</v>
      </c>
      <c r="K23">
        <v>0</v>
      </c>
      <c r="L23">
        <v>0</v>
      </c>
      <c r="M23">
        <v>0</v>
      </c>
      <c r="N23">
        <v>1</v>
      </c>
      <c r="O23">
        <v>0</v>
      </c>
      <c r="P23">
        <v>0</v>
      </c>
      <c r="Q23" s="79">
        <f t="shared" si="3"/>
        <v>2</v>
      </c>
      <c r="R23" s="74" cm="1">
        <f t="array" ref="R23">SUMPRODUCT($C23:P23, VLOOKUP($C$15:P$15,$A$30:$C$43,3,FALSE))</f>
        <v>12</v>
      </c>
      <c r="S23" s="75">
        <f t="shared" si="4"/>
        <v>0.14285714285714285</v>
      </c>
      <c r="T23" s="46" t="str">
        <f t="shared" si="2"/>
        <v>67c3</v>
      </c>
      <c r="U23" t="str">
        <f t="shared" si="5"/>
        <v>B</v>
      </c>
      <c r="V23" s="50">
        <v>1.7361111111111112E-2</v>
      </c>
      <c r="W23" s="78">
        <f t="shared" si="6"/>
        <v>0.91666666666666663</v>
      </c>
    </row>
    <row r="24" spans="1:23" ht="15.75" customHeight="1" x14ac:dyDescent="0.15">
      <c r="A24" s="38" t="s">
        <v>78</v>
      </c>
      <c r="B24" s="70"/>
      <c r="C24">
        <v>0</v>
      </c>
      <c r="D24">
        <v>1</v>
      </c>
      <c r="E24">
        <v>2</v>
      </c>
      <c r="F24">
        <v>0</v>
      </c>
      <c r="G24">
        <v>1</v>
      </c>
      <c r="H24">
        <v>2</v>
      </c>
      <c r="I24">
        <v>1</v>
      </c>
      <c r="J24">
        <v>0</v>
      </c>
      <c r="K24">
        <v>2</v>
      </c>
      <c r="L24">
        <v>1</v>
      </c>
      <c r="M24">
        <v>1</v>
      </c>
      <c r="N24">
        <v>1</v>
      </c>
      <c r="O24">
        <v>1</v>
      </c>
      <c r="P24">
        <v>1</v>
      </c>
      <c r="Q24" s="79">
        <f t="shared" si="3"/>
        <v>14</v>
      </c>
      <c r="R24" s="74" cm="1">
        <f t="array" ref="R24">SUMPRODUCT($C24:P24, VLOOKUP($C$15:P$15,$A$30:$C$43,3,FALSE))</f>
        <v>63</v>
      </c>
      <c r="S24" s="75">
        <f t="shared" si="4"/>
        <v>0.75</v>
      </c>
      <c r="T24" s="46" t="str">
        <f t="shared" si="2"/>
        <v>bdb6</v>
      </c>
      <c r="U24" t="str">
        <f t="shared" si="5"/>
        <v>B</v>
      </c>
      <c r="V24" s="50">
        <v>1.1805555555555555E-2</v>
      </c>
      <c r="W24" s="78">
        <f t="shared" si="6"/>
        <v>0.25</v>
      </c>
    </row>
    <row r="25" spans="1:23" ht="15.75" customHeight="1" x14ac:dyDescent="0.15">
      <c r="A25" s="38" t="s">
        <v>113</v>
      </c>
      <c r="B25" s="70"/>
      <c r="C25">
        <v>0</v>
      </c>
      <c r="D25">
        <v>1</v>
      </c>
      <c r="E25">
        <v>2</v>
      </c>
      <c r="F25">
        <v>1</v>
      </c>
      <c r="G25">
        <v>0</v>
      </c>
      <c r="H25">
        <v>0</v>
      </c>
      <c r="I25">
        <v>0</v>
      </c>
      <c r="J25">
        <v>0</v>
      </c>
      <c r="K25">
        <v>0</v>
      </c>
      <c r="L25">
        <v>0</v>
      </c>
      <c r="M25">
        <v>0</v>
      </c>
      <c r="N25">
        <v>0</v>
      </c>
      <c r="O25">
        <v>0</v>
      </c>
      <c r="P25">
        <v>0</v>
      </c>
      <c r="Q25" s="79">
        <f t="shared" si="3"/>
        <v>4</v>
      </c>
      <c r="R25" s="74" cm="1">
        <f t="array" ref="R25">SUMPRODUCT($C25:P25, VLOOKUP($C$15:P$15,$A$30:$C$43,3,FALSE))</f>
        <v>18</v>
      </c>
      <c r="S25" s="75">
        <f t="shared" si="4"/>
        <v>0.21428571428571427</v>
      </c>
      <c r="T25" s="46" t="str">
        <f t="shared" si="2"/>
        <v>bdf7</v>
      </c>
      <c r="U25" t="str">
        <f t="shared" si="5"/>
        <v>A</v>
      </c>
      <c r="V25" s="50">
        <v>1.7361111111111112E-2</v>
      </c>
      <c r="W25" s="78">
        <f t="shared" si="6"/>
        <v>0.83333333333333337</v>
      </c>
    </row>
    <row r="26" spans="1:23" ht="15.75" customHeight="1" x14ac:dyDescent="0.15">
      <c r="A26" s="38" t="s">
        <v>103</v>
      </c>
      <c r="B26" s="70"/>
      <c r="C26">
        <v>1</v>
      </c>
      <c r="D26">
        <v>1</v>
      </c>
      <c r="E26">
        <v>2</v>
      </c>
      <c r="F26">
        <v>0</v>
      </c>
      <c r="G26">
        <v>1</v>
      </c>
      <c r="H26">
        <v>1</v>
      </c>
      <c r="I26">
        <v>1</v>
      </c>
      <c r="J26">
        <v>0</v>
      </c>
      <c r="K26">
        <v>2</v>
      </c>
      <c r="L26">
        <v>1</v>
      </c>
      <c r="M26">
        <v>1</v>
      </c>
      <c r="N26">
        <v>1</v>
      </c>
      <c r="O26">
        <v>0</v>
      </c>
      <c r="P26">
        <v>1</v>
      </c>
      <c r="Q26" s="79">
        <f t="shared" si="3"/>
        <v>13</v>
      </c>
      <c r="R26" s="74" cm="1">
        <f t="array" ref="R26">SUMPRODUCT($C26:P26, VLOOKUP($C$15:P$15,$A$30:$C$43,3,FALSE))</f>
        <v>56</v>
      </c>
      <c r="S26" s="75">
        <f t="shared" si="4"/>
        <v>0.66666666666666663</v>
      </c>
      <c r="T26" s="46" t="str">
        <f t="shared" si="2"/>
        <v>e43c</v>
      </c>
      <c r="U26" t="str">
        <f t="shared" si="5"/>
        <v>B</v>
      </c>
      <c r="V26" s="50">
        <v>1.5625E-2</v>
      </c>
      <c r="W26" s="78">
        <f t="shared" si="6"/>
        <v>0.41666666666666669</v>
      </c>
    </row>
    <row r="27" spans="1:23" ht="15.75" customHeight="1" thickBot="1" x14ac:dyDescent="0.2">
      <c r="A27" s="38" t="s">
        <v>123</v>
      </c>
      <c r="B27" s="70"/>
      <c r="C27">
        <v>3</v>
      </c>
      <c r="D27">
        <v>1</v>
      </c>
      <c r="E27">
        <v>1</v>
      </c>
      <c r="F27">
        <v>1</v>
      </c>
      <c r="G27">
        <v>0</v>
      </c>
      <c r="H27">
        <v>1</v>
      </c>
      <c r="I27">
        <v>1</v>
      </c>
      <c r="J27">
        <v>1</v>
      </c>
      <c r="K27">
        <v>2</v>
      </c>
      <c r="L27">
        <v>0</v>
      </c>
      <c r="M27">
        <v>1</v>
      </c>
      <c r="N27">
        <v>1</v>
      </c>
      <c r="O27">
        <v>0</v>
      </c>
      <c r="P27">
        <v>0</v>
      </c>
      <c r="Q27" s="79">
        <f t="shared" si="3"/>
        <v>13</v>
      </c>
      <c r="R27" s="76" cm="1">
        <f t="array" ref="R27">SUMPRODUCT($C27:P27, VLOOKUP($C$15:P$15,$A$30:$C$43,3,FALSE))</f>
        <v>51</v>
      </c>
      <c r="S27" s="77">
        <f t="shared" si="4"/>
        <v>0.6071428571428571</v>
      </c>
      <c r="T27" s="47" t="str">
        <f t="shared" si="2"/>
        <v>fe6c</v>
      </c>
      <c r="U27" s="26" t="str">
        <f t="shared" si="5"/>
        <v>B</v>
      </c>
      <c r="V27" s="51">
        <v>1.7361111111111112E-2</v>
      </c>
      <c r="W27" s="78">
        <f t="shared" si="6"/>
        <v>0.58333333333333337</v>
      </c>
    </row>
    <row r="28" spans="1:23" ht="15.75" customHeight="1" thickBot="1" x14ac:dyDescent="0.2"/>
    <row r="29" spans="1:23" ht="15.75" customHeight="1" x14ac:dyDescent="0.15">
      <c r="A29" s="40" t="s">
        <v>160</v>
      </c>
      <c r="B29" s="41" t="s">
        <v>159</v>
      </c>
      <c r="C29" s="41" t="s">
        <v>163</v>
      </c>
      <c r="D29" s="42" t="s">
        <v>165</v>
      </c>
    </row>
    <row r="30" spans="1:23" ht="14" x14ac:dyDescent="0.15">
      <c r="A30" s="71" t="str">
        <f>C1</f>
        <v>What is the primary goal of the agent?</v>
      </c>
      <c r="B30" s="72">
        <v>3</v>
      </c>
      <c r="C30" s="72">
        <f>LCM(B$30:B$43)/B30</f>
        <v>2</v>
      </c>
      <c r="D30" s="43">
        <f>B30*C30</f>
        <v>6</v>
      </c>
      <c r="Q30" s="15"/>
      <c r="R30" s="15"/>
      <c r="S30" s="69"/>
      <c r="T30" s="69"/>
      <c r="U30" s="69"/>
      <c r="V30" s="69"/>
    </row>
    <row r="31" spans="1:23" ht="15.75" customHeight="1" x14ac:dyDescent="0.15">
      <c r="A31" s="71" t="str">
        <f>D1</f>
        <v>Did the agent complete its task?</v>
      </c>
      <c r="B31" s="72">
        <v>1</v>
      </c>
      <c r="C31" s="72">
        <f t="shared" ref="C31:C43" si="7">LCM(B$30:B$43)/B31</f>
        <v>6</v>
      </c>
      <c r="D31" s="43">
        <f t="shared" ref="D31:D43" si="8">B31*C31</f>
        <v>6</v>
      </c>
      <c r="S31" s="15"/>
      <c r="T31" s="15"/>
      <c r="U31" s="15"/>
      <c r="V31" s="15"/>
    </row>
    <row r="32" spans="1:23" ht="28" x14ac:dyDescent="0.15">
      <c r="A32" s="71" t="str">
        <f>E1</f>
        <v>What are the main action categories performed by the agent?</v>
      </c>
      <c r="B32" s="72">
        <v>2</v>
      </c>
      <c r="C32" s="72">
        <f t="shared" si="7"/>
        <v>3</v>
      </c>
      <c r="D32" s="43">
        <f t="shared" si="8"/>
        <v>6</v>
      </c>
      <c r="S32" s="28"/>
      <c r="U32" s="28"/>
    </row>
    <row r="33" spans="1:22" ht="15.75" customHeight="1" x14ac:dyDescent="0.15">
      <c r="A33" s="71" t="str">
        <f>F1</f>
        <v>What is the most frequently performed action?</v>
      </c>
      <c r="B33" s="72">
        <v>1</v>
      </c>
      <c r="C33" s="72">
        <f t="shared" si="7"/>
        <v>6</v>
      </c>
      <c r="D33" s="43">
        <f t="shared" si="8"/>
        <v>6</v>
      </c>
      <c r="S33" s="28"/>
      <c r="U33" s="28"/>
    </row>
    <row r="34" spans="1:22" ht="28" x14ac:dyDescent="0.15">
      <c r="A34" s="71" t="str">
        <f>G1</f>
        <v>What is the key challenge or issue the agent encounters during the task?</v>
      </c>
      <c r="B34" s="72">
        <v>1</v>
      </c>
      <c r="C34" s="72">
        <f t="shared" si="7"/>
        <v>6</v>
      </c>
      <c r="D34" s="43">
        <f t="shared" si="8"/>
        <v>6</v>
      </c>
      <c r="S34" s="28"/>
      <c r="U34" s="28"/>
    </row>
    <row r="35" spans="1:22" ht="28" x14ac:dyDescent="0.15">
      <c r="A35" s="71" t="str">
        <f>H1</f>
        <v>Does the agent exhibit any repetitive behavior? If so, describe one example.</v>
      </c>
      <c r="B35" s="72">
        <v>2</v>
      </c>
      <c r="C35" s="72">
        <f t="shared" si="7"/>
        <v>3</v>
      </c>
      <c r="D35" s="43">
        <f t="shared" si="8"/>
        <v>6</v>
      </c>
      <c r="S35" s="28"/>
      <c r="U35" s="28"/>
    </row>
    <row r="36" spans="1:22" ht="28" x14ac:dyDescent="0.15">
      <c r="A36" s="71" t="str">
        <f>I1</f>
        <v>What specific changes does the agent make to the cli.py file when it first modifies it?</v>
      </c>
      <c r="B36" s="72">
        <v>1</v>
      </c>
      <c r="C36" s="72">
        <f t="shared" si="7"/>
        <v>6</v>
      </c>
      <c r="D36" s="43">
        <f t="shared" si="8"/>
        <v>6</v>
      </c>
      <c r="S36" s="28"/>
      <c r="U36" s="28"/>
    </row>
    <row r="37" spans="1:22" ht="28" x14ac:dyDescent="0.15">
      <c r="A37" s="71" t="str">
        <f>J1</f>
        <v>Which specific files does the agent modify to implement the income report generation feature?</v>
      </c>
      <c r="B37" s="72">
        <v>2</v>
      </c>
      <c r="C37" s="72">
        <f t="shared" si="7"/>
        <v>3</v>
      </c>
      <c r="D37" s="43">
        <f t="shared" si="8"/>
        <v>6</v>
      </c>
      <c r="S37" s="28"/>
      <c r="U37" s="28"/>
    </row>
    <row r="38" spans="1:22" ht="42" x14ac:dyDescent="0.15">
      <c r="A38" s="71" t="str">
        <f>K1</f>
        <v>What feedback does the agent receive after its first attempt to run the test script for the finance tracker, and how does it influence the next action?</v>
      </c>
      <c r="B38" s="72">
        <v>2</v>
      </c>
      <c r="C38" s="72">
        <f t="shared" si="7"/>
        <v>3</v>
      </c>
      <c r="D38" s="43">
        <f t="shared" si="8"/>
        <v>6</v>
      </c>
      <c r="S38" s="28"/>
      <c r="U38" s="28"/>
    </row>
    <row r="39" spans="1:22" ht="28" x14ac:dyDescent="0.15">
      <c r="A39" s="71" t="str">
        <f>L1</f>
        <v>Which Python packages does the agent install over the course of the run?</v>
      </c>
      <c r="B39" s="72">
        <v>1</v>
      </c>
      <c r="C39" s="72">
        <f t="shared" si="7"/>
        <v>6</v>
      </c>
      <c r="D39" s="43">
        <f t="shared" si="8"/>
        <v>6</v>
      </c>
      <c r="S39" s="28"/>
      <c r="U39" s="28"/>
    </row>
    <row r="40" spans="1:22" ht="42" x14ac:dyDescent="0.15">
      <c r="A40" s="71" t="str">
        <f>M1</f>
        <v>What feedback does the agent receive from running the test script for the finance tracker after it has solved all import issues?</v>
      </c>
      <c r="B40" s="72">
        <v>1</v>
      </c>
      <c r="C40" s="72">
        <f t="shared" si="7"/>
        <v>6</v>
      </c>
      <c r="D40" s="43">
        <f t="shared" si="8"/>
        <v>6</v>
      </c>
      <c r="S40" s="28"/>
      <c r="U40" s="28"/>
    </row>
    <row r="41" spans="1:22" ht="28" x14ac:dyDescent="0.15">
      <c r="A41" s="71" t="str">
        <f>N1</f>
        <v>Which file is the agent primarily focused on modifying towards the end of the run?</v>
      </c>
      <c r="B41" s="72">
        <v>1</v>
      </c>
      <c r="C41" s="72">
        <f t="shared" si="7"/>
        <v>6</v>
      </c>
      <c r="D41" s="43">
        <f t="shared" si="8"/>
        <v>6</v>
      </c>
      <c r="S41" s="28"/>
      <c r="U41" s="28"/>
    </row>
    <row r="42" spans="1:22" ht="42" x14ac:dyDescent="0.15">
      <c r="A42" s="71" t="str">
        <f>O1</f>
        <v>Does the agent ever attempt to make the same change twice before reevaluating the tests? If so, describe one instance.</v>
      </c>
      <c r="B42" s="72">
        <v>1</v>
      </c>
      <c r="C42" s="72">
        <f t="shared" si="7"/>
        <v>6</v>
      </c>
      <c r="D42" s="43">
        <f t="shared" si="8"/>
        <v>6</v>
      </c>
      <c r="S42" s="28"/>
      <c r="U42" s="28"/>
    </row>
    <row r="43" spans="1:22" ht="42" x14ac:dyDescent="0.15">
      <c r="A43" s="71" t="str">
        <f>P1</f>
        <v>Analyze the final four changes the agent makes to the repository. How do these changes relate to each other?</v>
      </c>
      <c r="B43" s="72">
        <v>2</v>
      </c>
      <c r="C43" s="72">
        <f t="shared" si="7"/>
        <v>3</v>
      </c>
      <c r="D43" s="43">
        <f t="shared" si="8"/>
        <v>6</v>
      </c>
      <c r="S43" s="28"/>
      <c r="U43" s="28"/>
    </row>
    <row r="44" spans="1:22" ht="15.75" customHeight="1" x14ac:dyDescent="0.15">
      <c r="A44" s="27"/>
      <c r="B44" s="72"/>
      <c r="C44" s="72"/>
      <c r="D44" s="43"/>
      <c r="V44" s="48"/>
    </row>
    <row r="45" spans="1:22" ht="15.75" customHeight="1" thickBot="1" x14ac:dyDescent="0.2">
      <c r="A45" s="73" t="s">
        <v>162</v>
      </c>
      <c r="B45" s="26">
        <f>SUM(B30:B43)</f>
        <v>21</v>
      </c>
      <c r="C45" s="26"/>
      <c r="D45" s="45">
        <f>SUM(D30:D43)</f>
        <v>84</v>
      </c>
    </row>
    <row r="46" spans="1:22" ht="15.75" customHeight="1" thickBot="1" x14ac:dyDescent="0.2">
      <c r="A46" s="23"/>
      <c r="C46" s="28"/>
    </row>
    <row r="47" spans="1:22" ht="15.75" customHeight="1" x14ac:dyDescent="0.15">
      <c r="A47" s="40" t="s">
        <v>0</v>
      </c>
      <c r="B47" s="42" t="s">
        <v>179</v>
      </c>
    </row>
    <row r="48" spans="1:22" ht="15.75" customHeight="1" x14ac:dyDescent="0.15">
      <c r="A48" s="52" t="s">
        <v>123</v>
      </c>
      <c r="B48" s="43" t="s">
        <v>180</v>
      </c>
    </row>
    <row r="49" spans="1:2" ht="15.75" customHeight="1" x14ac:dyDescent="0.15">
      <c r="A49" s="52" t="s">
        <v>121</v>
      </c>
      <c r="B49" s="43" t="s">
        <v>180</v>
      </c>
    </row>
    <row r="50" spans="1:2" ht="15.75" customHeight="1" x14ac:dyDescent="0.15">
      <c r="A50" s="59" t="s">
        <v>55</v>
      </c>
      <c r="B50" s="43" t="s">
        <v>181</v>
      </c>
    </row>
    <row r="51" spans="1:2" ht="15.75" customHeight="1" x14ac:dyDescent="0.15">
      <c r="A51" s="52" t="s">
        <v>66</v>
      </c>
      <c r="B51" s="43" t="s">
        <v>181</v>
      </c>
    </row>
    <row r="52" spans="1:2" ht="15.75" customHeight="1" x14ac:dyDescent="0.15">
      <c r="A52" s="52" t="s">
        <v>92</v>
      </c>
      <c r="B52" s="43" t="s">
        <v>181</v>
      </c>
    </row>
    <row r="53" spans="1:2" ht="15.75" customHeight="1" x14ac:dyDescent="0.15">
      <c r="A53" s="52" t="s">
        <v>182</v>
      </c>
      <c r="B53" s="43" t="s">
        <v>180</v>
      </c>
    </row>
    <row r="54" spans="1:2" ht="15.75" customHeight="1" x14ac:dyDescent="0.15">
      <c r="A54" s="52" t="s">
        <v>183</v>
      </c>
      <c r="B54" s="43" t="s">
        <v>181</v>
      </c>
    </row>
    <row r="55" spans="1:2" ht="15.75" customHeight="1" x14ac:dyDescent="0.15">
      <c r="A55" s="59" t="s">
        <v>184</v>
      </c>
      <c r="B55" s="43" t="s">
        <v>180</v>
      </c>
    </row>
    <row r="56" spans="1:2" ht="15.75" customHeight="1" x14ac:dyDescent="0.15">
      <c r="A56" s="52" t="s">
        <v>78</v>
      </c>
      <c r="B56" s="43" t="s">
        <v>180</v>
      </c>
    </row>
    <row r="57" spans="1:2" ht="15.75" customHeight="1" x14ac:dyDescent="0.15">
      <c r="A57" s="52" t="s">
        <v>113</v>
      </c>
      <c r="B57" s="43" t="s">
        <v>181</v>
      </c>
    </row>
    <row r="58" spans="1:2" ht="15.75" customHeight="1" x14ac:dyDescent="0.15">
      <c r="A58" s="52" t="s">
        <v>166</v>
      </c>
      <c r="B58" s="43" t="s">
        <v>181</v>
      </c>
    </row>
    <row r="59" spans="1:2" ht="15.75" customHeight="1" thickBot="1" x14ac:dyDescent="0.2">
      <c r="A59" s="53" t="s">
        <v>103</v>
      </c>
      <c r="B59" s="45" t="s">
        <v>180</v>
      </c>
    </row>
    <row r="60" spans="1:2" ht="15.75" customHeight="1" thickBot="1" x14ac:dyDescent="0.2"/>
    <row r="61" spans="1:2" ht="15.75" customHeight="1" x14ac:dyDescent="0.15">
      <c r="A61" s="67" t="s">
        <v>0</v>
      </c>
      <c r="B61" s="42" t="s">
        <v>221</v>
      </c>
    </row>
    <row r="62" spans="1:2" ht="15.75" customHeight="1" x14ac:dyDescent="0.15">
      <c r="A62" s="27" t="s">
        <v>78</v>
      </c>
      <c r="B62" s="65" t="s">
        <v>271</v>
      </c>
    </row>
    <row r="63" spans="1:2" ht="15.75" customHeight="1" x14ac:dyDescent="0.15">
      <c r="A63" s="27" t="s">
        <v>103</v>
      </c>
      <c r="B63" s="65" t="s">
        <v>271</v>
      </c>
    </row>
    <row r="64" spans="1:2" ht="15.75" customHeight="1" x14ac:dyDescent="0.15">
      <c r="A64" s="27" t="s">
        <v>66</v>
      </c>
      <c r="B64" s="65" t="s">
        <v>271</v>
      </c>
    </row>
    <row r="65" spans="1:2" ht="15.75" customHeight="1" x14ac:dyDescent="0.15">
      <c r="A65" s="27" t="s">
        <v>113</v>
      </c>
      <c r="B65" s="65" t="s">
        <v>271</v>
      </c>
    </row>
    <row r="66" spans="1:2" ht="15.75" customHeight="1" x14ac:dyDescent="0.15">
      <c r="A66" s="64" t="s">
        <v>55</v>
      </c>
      <c r="B66" s="65" t="s">
        <v>271</v>
      </c>
    </row>
    <row r="67" spans="1:2" ht="15.75" customHeight="1" x14ac:dyDescent="0.15">
      <c r="A67" s="27" t="s">
        <v>182</v>
      </c>
      <c r="B67" s="65" t="s">
        <v>271</v>
      </c>
    </row>
    <row r="68" spans="1:2" ht="15.75" customHeight="1" x14ac:dyDescent="0.15">
      <c r="A68" s="27" t="s">
        <v>183</v>
      </c>
      <c r="B68" s="65" t="s">
        <v>271</v>
      </c>
    </row>
    <row r="69" spans="1:2" ht="15.75" customHeight="1" x14ac:dyDescent="0.15">
      <c r="A69" s="64" t="s">
        <v>184</v>
      </c>
      <c r="B69" s="65" t="s">
        <v>271</v>
      </c>
    </row>
    <row r="70" spans="1:2" ht="15.75" customHeight="1" x14ac:dyDescent="0.15">
      <c r="A70" s="27" t="s">
        <v>123</v>
      </c>
      <c r="B70" s="65" t="s">
        <v>271</v>
      </c>
    </row>
    <row r="71" spans="1:2" ht="15.75" customHeight="1" thickBot="1" x14ac:dyDescent="0.2">
      <c r="A71" s="44" t="s">
        <v>121</v>
      </c>
      <c r="B71" s="66" t="s">
        <v>271</v>
      </c>
    </row>
    <row r="72" spans="1:2" ht="15.75" customHeight="1" thickBot="1" x14ac:dyDescent="0.2"/>
    <row r="73" spans="1:2" ht="15.75" customHeight="1" x14ac:dyDescent="0.15">
      <c r="A73" s="68" t="s">
        <v>0</v>
      </c>
      <c r="B73" s="42" t="s">
        <v>269</v>
      </c>
    </row>
    <row r="74" spans="1:2" ht="15.75" customHeight="1" x14ac:dyDescent="0.15">
      <c r="A74" s="27" t="s">
        <v>123</v>
      </c>
      <c r="B74" s="65" t="s">
        <v>266</v>
      </c>
    </row>
    <row r="75" spans="1:2" ht="15.75" customHeight="1" x14ac:dyDescent="0.15">
      <c r="A75" s="27" t="s">
        <v>121</v>
      </c>
      <c r="B75" s="43" t="s">
        <v>265</v>
      </c>
    </row>
    <row r="76" spans="1:2" ht="15.75" customHeight="1" x14ac:dyDescent="0.15">
      <c r="A76" s="27" t="s">
        <v>55</v>
      </c>
      <c r="B76" s="43" t="s">
        <v>265</v>
      </c>
    </row>
    <row r="77" spans="1:2" ht="15.75" customHeight="1" x14ac:dyDescent="0.15">
      <c r="A77" s="27" t="s">
        <v>66</v>
      </c>
      <c r="B77" s="65" t="s">
        <v>267</v>
      </c>
    </row>
    <row r="78" spans="1:2" ht="15.75" customHeight="1" x14ac:dyDescent="0.15">
      <c r="A78" s="27" t="s">
        <v>92</v>
      </c>
      <c r="B78" s="65" t="s">
        <v>268</v>
      </c>
    </row>
    <row r="79" spans="1:2" ht="15.75" customHeight="1" x14ac:dyDescent="0.15">
      <c r="A79" s="27" t="s">
        <v>182</v>
      </c>
      <c r="B79" s="65" t="s">
        <v>266</v>
      </c>
    </row>
    <row r="80" spans="1:2" ht="15.75" customHeight="1" x14ac:dyDescent="0.15">
      <c r="A80" s="27" t="s">
        <v>183</v>
      </c>
      <c r="B80" s="43" t="s">
        <v>265</v>
      </c>
    </row>
    <row r="81" spans="1:4" ht="15.75" customHeight="1" x14ac:dyDescent="0.15">
      <c r="A81" s="27" t="s">
        <v>184</v>
      </c>
      <c r="B81" s="43" t="s">
        <v>265</v>
      </c>
    </row>
    <row r="82" spans="1:4" ht="15.75" customHeight="1" x14ac:dyDescent="0.15">
      <c r="A82" s="27" t="s">
        <v>78</v>
      </c>
      <c r="B82" s="65" t="s">
        <v>268</v>
      </c>
    </row>
    <row r="83" spans="1:4" ht="15.75" customHeight="1" x14ac:dyDescent="0.15">
      <c r="A83" s="27" t="s">
        <v>113</v>
      </c>
      <c r="B83" s="65" t="s">
        <v>266</v>
      </c>
      <c r="C83">
        <v>3</v>
      </c>
      <c r="D83">
        <v>4</v>
      </c>
    </row>
    <row r="84" spans="1:4" ht="15.75" customHeight="1" x14ac:dyDescent="0.15">
      <c r="A84" s="27" t="s">
        <v>166</v>
      </c>
      <c r="B84" s="65" t="s">
        <v>268</v>
      </c>
    </row>
    <row r="85" spans="1:4" ht="15.75" customHeight="1" thickBot="1" x14ac:dyDescent="0.2">
      <c r="A85" s="44" t="s">
        <v>103</v>
      </c>
      <c r="B85" s="66" t="s">
        <v>267</v>
      </c>
    </row>
  </sheetData>
  <mergeCells count="3">
    <mergeCell ref="S30:T30"/>
    <mergeCell ref="U30:V30"/>
    <mergeCell ref="B16:B27"/>
  </mergeCells>
  <hyperlinks>
    <hyperlink ref="N7" r:id="rId1" xr:uid="{00000000-0004-0000-0000-000001000000}"/>
    <hyperlink ref="J8" r:id="rId2" xr:uid="{00000000-0004-0000-0000-000002000000}"/>
    <hyperlink ref="N2" r:id="rId3" xr:uid="{00000000-0004-0000-0000-000003000000}"/>
    <hyperlink ref="N3" r:id="rId4" xr:uid="{00000000-0004-0000-0000-000004000000}"/>
    <hyperlink ref="N5" r:id="rId5" xr:uid="{00000000-0004-0000-0000-000005000000}"/>
    <hyperlink ref="N6" r:id="rId6" xr:uid="{00000000-0004-0000-0000-000006000000}"/>
    <hyperlink ref="J11" r:id="rId7" xr:uid="{00000000-0004-0000-0000-000007000000}"/>
    <hyperlink ref="N13" r:id="rId8" xr:uid="{00000000-0004-0000-0000-000008000000}"/>
  </hyperlinks>
  <pageMargins left="0.7" right="0.7" top="0.75" bottom="0.75" header="0.3" footer="0.3"/>
  <pageSetup paperSize="9" orientation="portrait" horizontalDpi="0" verticalDpi="0"/>
  <tableParts count="1">
    <tablePart r:id="rId9"/>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0AB73-38C5-A04D-BC00-8E6E09C77A3C}">
  <dimension ref="A1:J12"/>
  <sheetViews>
    <sheetView zoomScale="109" workbookViewId="0">
      <selection activeCell="C17" sqref="C17"/>
    </sheetView>
  </sheetViews>
  <sheetFormatPr baseColWidth="10" defaultRowHeight="13" x14ac:dyDescent="0.15"/>
  <cols>
    <col min="1" max="1" width="12.83203125" bestFit="1" customWidth="1"/>
    <col min="2" max="2" width="14" bestFit="1" customWidth="1"/>
    <col min="3" max="3" width="71" customWidth="1"/>
  </cols>
  <sheetData>
    <row r="1" spans="1:10" x14ac:dyDescent="0.15">
      <c r="A1" s="1" t="s">
        <v>0</v>
      </c>
      <c r="B1" s="1" t="s">
        <v>153</v>
      </c>
      <c r="C1" s="1" t="s">
        <v>132</v>
      </c>
      <c r="D1" s="1" t="s">
        <v>15</v>
      </c>
      <c r="E1" s="1" t="s">
        <v>16</v>
      </c>
      <c r="F1" s="1" t="s">
        <v>17</v>
      </c>
      <c r="G1" s="1" t="s">
        <v>18</v>
      </c>
      <c r="H1" s="2" t="s">
        <v>19</v>
      </c>
      <c r="J1" s="80" t="s">
        <v>161</v>
      </c>
    </row>
    <row r="2" spans="1:10" ht="14" x14ac:dyDescent="0.15">
      <c r="A2" s="60" t="s">
        <v>184</v>
      </c>
      <c r="B2" s="16">
        <v>8.3333333333333332E-3</v>
      </c>
      <c r="C2" s="14" t="s">
        <v>145</v>
      </c>
      <c r="D2" s="6">
        <v>5</v>
      </c>
      <c r="E2" s="6">
        <v>7</v>
      </c>
      <c r="F2" s="6">
        <v>6</v>
      </c>
      <c r="G2" s="6">
        <v>5</v>
      </c>
      <c r="H2" s="8">
        <v>7</v>
      </c>
      <c r="J2" s="81">
        <v>0</v>
      </c>
    </row>
    <row r="3" spans="1:10" ht="42" x14ac:dyDescent="0.15">
      <c r="A3" s="55" t="s">
        <v>55</v>
      </c>
      <c r="B3" s="18">
        <v>8.3333333333333332E-3</v>
      </c>
      <c r="C3" s="24" t="s">
        <v>146</v>
      </c>
      <c r="D3" s="3">
        <v>3</v>
      </c>
      <c r="E3" s="3">
        <v>2</v>
      </c>
      <c r="F3" s="3">
        <v>4</v>
      </c>
      <c r="G3" s="3">
        <v>3</v>
      </c>
      <c r="H3" s="5">
        <v>2</v>
      </c>
      <c r="J3" s="81">
        <v>0</v>
      </c>
    </row>
    <row r="4" spans="1:10" ht="42" x14ac:dyDescent="0.15">
      <c r="A4" s="54" t="s">
        <v>66</v>
      </c>
      <c r="B4" s="16">
        <v>8.3333333333333332E-3</v>
      </c>
      <c r="C4" s="14" t="s">
        <v>147</v>
      </c>
      <c r="D4" s="6">
        <v>6</v>
      </c>
      <c r="E4" s="6">
        <v>7</v>
      </c>
      <c r="F4" s="6">
        <v>2</v>
      </c>
      <c r="G4" s="6">
        <v>6</v>
      </c>
      <c r="H4" s="8">
        <v>1</v>
      </c>
      <c r="J4" s="81">
        <v>1</v>
      </c>
    </row>
    <row r="5" spans="1:10" ht="56" x14ac:dyDescent="0.15">
      <c r="A5" s="56" t="s">
        <v>92</v>
      </c>
      <c r="B5" s="17">
        <v>6.2500000000000003E-3</v>
      </c>
      <c r="C5" s="24" t="s">
        <v>149</v>
      </c>
      <c r="D5" s="3">
        <v>4</v>
      </c>
      <c r="E5" s="3">
        <v>2</v>
      </c>
      <c r="F5" s="3">
        <v>2</v>
      </c>
      <c r="G5" s="3">
        <v>2</v>
      </c>
      <c r="H5" s="5">
        <v>1</v>
      </c>
      <c r="J5" s="81">
        <v>1</v>
      </c>
    </row>
    <row r="6" spans="1:10" ht="42" x14ac:dyDescent="0.15">
      <c r="A6" s="54" t="s">
        <v>182</v>
      </c>
      <c r="B6" s="16">
        <v>8.3333333333333332E-3</v>
      </c>
      <c r="C6" s="14" t="s">
        <v>143</v>
      </c>
      <c r="D6" s="6">
        <v>7</v>
      </c>
      <c r="E6" s="6">
        <v>6</v>
      </c>
      <c r="F6" s="6">
        <v>5</v>
      </c>
      <c r="G6" s="6">
        <v>6</v>
      </c>
      <c r="H6" s="8">
        <v>7</v>
      </c>
      <c r="J6" s="81">
        <v>0</v>
      </c>
    </row>
    <row r="7" spans="1:10" ht="14" x14ac:dyDescent="0.15">
      <c r="A7" s="56" t="s">
        <v>183</v>
      </c>
      <c r="B7" s="17">
        <v>8.3333333333333332E-3</v>
      </c>
      <c r="C7" s="24" t="s">
        <v>144</v>
      </c>
      <c r="D7" s="3">
        <v>6</v>
      </c>
      <c r="E7" s="3">
        <v>6</v>
      </c>
      <c r="F7" s="3">
        <v>2</v>
      </c>
      <c r="G7" s="3">
        <v>6</v>
      </c>
      <c r="H7" s="5">
        <v>5</v>
      </c>
      <c r="J7" s="81">
        <v>0</v>
      </c>
    </row>
    <row r="8" spans="1:10" x14ac:dyDescent="0.15">
      <c r="A8" s="54" t="s">
        <v>121</v>
      </c>
      <c r="B8" s="16">
        <v>8.3333333333333332E-3</v>
      </c>
      <c r="C8" s="14"/>
      <c r="D8" s="6">
        <v>5</v>
      </c>
      <c r="E8" s="6">
        <v>7</v>
      </c>
      <c r="F8" s="6">
        <v>7</v>
      </c>
      <c r="G8" s="6">
        <v>6</v>
      </c>
      <c r="H8" s="8">
        <v>7</v>
      </c>
      <c r="J8" s="81">
        <v>0</v>
      </c>
    </row>
    <row r="9" spans="1:10" ht="42" x14ac:dyDescent="0.15">
      <c r="A9" s="56" t="s">
        <v>78</v>
      </c>
      <c r="B9" s="20">
        <v>6.5972222222222222E-3</v>
      </c>
      <c r="C9" s="24" t="s">
        <v>148</v>
      </c>
      <c r="D9" s="3">
        <v>6</v>
      </c>
      <c r="E9" s="3">
        <v>5</v>
      </c>
      <c r="F9" s="3">
        <v>3</v>
      </c>
      <c r="G9" s="3">
        <v>4</v>
      </c>
      <c r="H9" s="5">
        <v>3</v>
      </c>
      <c r="J9" s="81">
        <v>0</v>
      </c>
    </row>
    <row r="10" spans="1:10" ht="14" x14ac:dyDescent="0.15">
      <c r="A10" s="54" t="s">
        <v>113</v>
      </c>
      <c r="B10" s="16">
        <v>6.2500000000000003E-3</v>
      </c>
      <c r="C10" s="14" t="s">
        <v>151</v>
      </c>
      <c r="D10" s="6">
        <v>3</v>
      </c>
      <c r="E10" s="6">
        <v>3</v>
      </c>
      <c r="F10" s="6">
        <v>4</v>
      </c>
      <c r="G10" s="6">
        <v>3</v>
      </c>
      <c r="H10" s="8">
        <v>2</v>
      </c>
      <c r="J10" s="81">
        <v>1</v>
      </c>
    </row>
    <row r="11" spans="1:10" ht="42" x14ac:dyDescent="0.15">
      <c r="A11" s="56" t="s">
        <v>103</v>
      </c>
      <c r="B11" s="17">
        <v>6.2500000000000003E-3</v>
      </c>
      <c r="C11" s="24" t="s">
        <v>150</v>
      </c>
      <c r="D11" s="3">
        <v>7</v>
      </c>
      <c r="E11" s="3">
        <v>7</v>
      </c>
      <c r="F11" s="3">
        <v>4</v>
      </c>
      <c r="G11" s="3">
        <v>7</v>
      </c>
      <c r="H11" s="5">
        <v>6</v>
      </c>
      <c r="J11" s="81">
        <v>1</v>
      </c>
    </row>
    <row r="12" spans="1:10" ht="29" thickBot="1" x14ac:dyDescent="0.2">
      <c r="A12" s="57" t="s">
        <v>123</v>
      </c>
      <c r="B12" s="19">
        <v>8.3333333333333332E-3</v>
      </c>
      <c r="C12" s="25" t="s">
        <v>152</v>
      </c>
      <c r="D12" s="10">
        <v>6</v>
      </c>
      <c r="E12" s="10">
        <v>5</v>
      </c>
      <c r="F12" s="10">
        <v>3</v>
      </c>
      <c r="G12" s="10">
        <v>4</v>
      </c>
      <c r="H12" s="13">
        <v>4</v>
      </c>
      <c r="J12" s="82">
        <v>0</v>
      </c>
    </row>
  </sheetData>
  <pageMargins left="0.7" right="0.7" top="0.75" bottom="0.75" header="0.3" footer="0.3"/>
  <pageSetup paperSize="9" orientation="portrait" horizontalDpi="0" verticalDpi="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60A75-CE1D-0E48-8C55-6D0F40D7B6EF}">
  <dimension ref="A1:J12"/>
  <sheetViews>
    <sheetView workbookViewId="0">
      <selection activeCell="K6" sqref="K6"/>
    </sheetView>
  </sheetViews>
  <sheetFormatPr baseColWidth="10" defaultRowHeight="13" x14ac:dyDescent="0.15"/>
  <cols>
    <col min="1" max="1" width="12.83203125" bestFit="1" customWidth="1"/>
    <col min="2" max="2" width="14" bestFit="1" customWidth="1"/>
    <col min="3" max="3" width="65.6640625" customWidth="1"/>
  </cols>
  <sheetData>
    <row r="1" spans="1:10" x14ac:dyDescent="0.15">
      <c r="A1" s="1" t="s">
        <v>0</v>
      </c>
      <c r="B1" s="1" t="s">
        <v>153</v>
      </c>
      <c r="C1" s="1" t="s">
        <v>132</v>
      </c>
      <c r="D1" s="1" t="s">
        <v>15</v>
      </c>
      <c r="E1" s="1" t="s">
        <v>16</v>
      </c>
      <c r="F1" s="1" t="s">
        <v>17</v>
      </c>
      <c r="G1" s="1" t="s">
        <v>18</v>
      </c>
      <c r="H1" s="2" t="s">
        <v>19</v>
      </c>
      <c r="J1" s="80" t="s">
        <v>161</v>
      </c>
    </row>
    <row r="2" spans="1:10" ht="56" x14ac:dyDescent="0.15">
      <c r="A2" s="61" t="s">
        <v>184</v>
      </c>
      <c r="B2" s="16">
        <v>8.3333333333333332E-3</v>
      </c>
      <c r="C2" s="14" t="s">
        <v>135</v>
      </c>
      <c r="D2" s="6">
        <v>5</v>
      </c>
      <c r="E2" s="6">
        <v>6</v>
      </c>
      <c r="F2" s="6">
        <v>6</v>
      </c>
      <c r="G2" s="6">
        <v>6</v>
      </c>
      <c r="H2" s="8">
        <v>6</v>
      </c>
      <c r="J2" s="81">
        <v>0</v>
      </c>
    </row>
    <row r="3" spans="1:10" ht="98" x14ac:dyDescent="0.15">
      <c r="A3" s="9" t="s">
        <v>55</v>
      </c>
      <c r="B3" s="18">
        <v>8.3333333333333332E-3</v>
      </c>
      <c r="C3" s="24" t="s">
        <v>136</v>
      </c>
      <c r="D3" s="3">
        <v>4</v>
      </c>
      <c r="E3" s="3">
        <v>3</v>
      </c>
      <c r="F3" s="3">
        <v>5</v>
      </c>
      <c r="G3" s="3">
        <v>4</v>
      </c>
      <c r="H3" s="5">
        <v>4</v>
      </c>
      <c r="J3" s="81">
        <v>1</v>
      </c>
    </row>
    <row r="4" spans="1:10" ht="84" x14ac:dyDescent="0.15">
      <c r="A4" s="6" t="s">
        <v>66</v>
      </c>
      <c r="B4" s="16">
        <v>4.8611111111111112E-3</v>
      </c>
      <c r="C4" s="14" t="s">
        <v>137</v>
      </c>
      <c r="D4" s="6">
        <v>4</v>
      </c>
      <c r="E4" s="6">
        <v>2</v>
      </c>
      <c r="F4" s="6">
        <v>1</v>
      </c>
      <c r="G4" s="6">
        <v>2</v>
      </c>
      <c r="H4" s="8">
        <v>1</v>
      </c>
      <c r="J4" s="81">
        <v>1</v>
      </c>
    </row>
    <row r="5" spans="1:10" ht="98" x14ac:dyDescent="0.15">
      <c r="A5" s="3" t="s">
        <v>92</v>
      </c>
      <c r="B5" s="17">
        <v>8.3333333333333332E-3</v>
      </c>
      <c r="C5" s="24" t="s">
        <v>139</v>
      </c>
      <c r="D5" s="3">
        <v>5</v>
      </c>
      <c r="E5" s="3">
        <v>5</v>
      </c>
      <c r="F5" s="3">
        <v>3</v>
      </c>
      <c r="G5" s="3">
        <v>5</v>
      </c>
      <c r="H5" s="5">
        <v>2</v>
      </c>
      <c r="J5" s="81">
        <v>1</v>
      </c>
    </row>
    <row r="6" spans="1:10" ht="70" x14ac:dyDescent="0.15">
      <c r="A6" s="6" t="s">
        <v>24</v>
      </c>
      <c r="B6" s="16">
        <v>8.3333333333333332E-3</v>
      </c>
      <c r="C6" s="14" t="s">
        <v>133</v>
      </c>
      <c r="D6" s="6">
        <v>7</v>
      </c>
      <c r="E6" s="6">
        <v>7</v>
      </c>
      <c r="F6" s="6">
        <v>5</v>
      </c>
      <c r="G6" s="6">
        <v>6</v>
      </c>
      <c r="H6" s="8">
        <v>5</v>
      </c>
      <c r="J6" s="81">
        <v>1</v>
      </c>
    </row>
    <row r="7" spans="1:10" ht="14" x14ac:dyDescent="0.15">
      <c r="A7" s="3" t="s">
        <v>37</v>
      </c>
      <c r="B7" s="17">
        <v>8.3333333333333332E-3</v>
      </c>
      <c r="C7" s="24" t="s">
        <v>134</v>
      </c>
      <c r="D7" s="3">
        <v>6</v>
      </c>
      <c r="E7" s="3">
        <v>6</v>
      </c>
      <c r="F7" s="3">
        <v>2</v>
      </c>
      <c r="G7" s="3">
        <v>6</v>
      </c>
      <c r="H7" s="5">
        <v>6</v>
      </c>
      <c r="J7" s="81">
        <v>0</v>
      </c>
    </row>
    <row r="8" spans="1:10" ht="28" x14ac:dyDescent="0.15">
      <c r="A8" s="6" t="s">
        <v>121</v>
      </c>
      <c r="B8" s="16">
        <v>8.3333333333333332E-3</v>
      </c>
      <c r="C8" s="14" t="s">
        <v>158</v>
      </c>
      <c r="D8" s="6">
        <v>5</v>
      </c>
      <c r="E8" s="6">
        <v>7</v>
      </c>
      <c r="F8" s="6">
        <v>4</v>
      </c>
      <c r="G8" s="6">
        <v>6</v>
      </c>
      <c r="H8" s="8">
        <v>5</v>
      </c>
      <c r="J8" s="81">
        <v>0</v>
      </c>
    </row>
    <row r="9" spans="1:10" ht="14" x14ac:dyDescent="0.15">
      <c r="A9" s="3" t="s">
        <v>78</v>
      </c>
      <c r="B9" s="17">
        <v>6.9444444444444441E-3</v>
      </c>
      <c r="C9" s="24" t="s">
        <v>138</v>
      </c>
      <c r="D9" s="3">
        <v>6</v>
      </c>
      <c r="E9" s="3">
        <v>5</v>
      </c>
      <c r="F9" s="3">
        <v>3</v>
      </c>
      <c r="G9" s="3">
        <v>5</v>
      </c>
      <c r="H9" s="5">
        <v>4</v>
      </c>
      <c r="J9" s="81">
        <v>0</v>
      </c>
    </row>
    <row r="10" spans="1:10" ht="14" x14ac:dyDescent="0.15">
      <c r="A10" s="6" t="s">
        <v>113</v>
      </c>
      <c r="B10" s="16">
        <v>3.472222222222222E-3</v>
      </c>
      <c r="C10" s="14" t="s">
        <v>141</v>
      </c>
      <c r="D10" s="6">
        <v>2</v>
      </c>
      <c r="E10" s="6">
        <v>2</v>
      </c>
      <c r="F10" s="6">
        <v>4</v>
      </c>
      <c r="G10" s="6">
        <v>3</v>
      </c>
      <c r="H10" s="8">
        <v>2</v>
      </c>
      <c r="J10" s="81">
        <v>0</v>
      </c>
    </row>
    <row r="11" spans="1:10" ht="56" x14ac:dyDescent="0.15">
      <c r="A11" s="3" t="s">
        <v>103</v>
      </c>
      <c r="B11" s="17">
        <v>4.8611111111111112E-3</v>
      </c>
      <c r="C11" s="24" t="s">
        <v>140</v>
      </c>
      <c r="D11" s="3">
        <v>5</v>
      </c>
      <c r="E11" s="3">
        <v>4</v>
      </c>
      <c r="F11" s="3">
        <v>1</v>
      </c>
      <c r="G11" s="3">
        <v>5</v>
      </c>
      <c r="H11" s="5">
        <v>3</v>
      </c>
      <c r="J11" s="81">
        <v>0</v>
      </c>
    </row>
    <row r="12" spans="1:10" ht="43" thickBot="1" x14ac:dyDescent="0.2">
      <c r="A12" s="10" t="s">
        <v>123</v>
      </c>
      <c r="B12" s="19">
        <v>8.3333333333333332E-3</v>
      </c>
      <c r="C12" s="25" t="s">
        <v>142</v>
      </c>
      <c r="D12" s="10">
        <v>6</v>
      </c>
      <c r="E12" s="10">
        <v>5</v>
      </c>
      <c r="F12" s="10">
        <v>5</v>
      </c>
      <c r="G12" s="10">
        <v>5</v>
      </c>
      <c r="H12" s="13">
        <v>4</v>
      </c>
      <c r="J12" s="82">
        <v>0</v>
      </c>
    </row>
  </sheetData>
  <pageMargins left="0.7" right="0.7" top="0.75" bottom="0.75" header="0.3" footer="0.3"/>
  <pageSetup paperSize="9" orientation="portrait"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Data Export</vt:lpstr>
      <vt:lpstr>CSV Results</vt:lpstr>
      <vt:lpstr>Task 1</vt:lpstr>
      <vt:lpstr>Task 2</vt:lpstr>
      <vt:lpstr>Task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Robert Hutter</cp:lastModifiedBy>
  <cp:lastPrinted>2025-08-26T08:08:52Z</cp:lastPrinted>
  <dcterms:modified xsi:type="dcterms:W3CDTF">2025-09-27T08:21:59Z</dcterms:modified>
</cp:coreProperties>
</file>